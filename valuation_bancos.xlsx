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3.xml" ContentType="application/vnd.ms-excel.slicer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ria\OneDrive\Área de Trabalho\ARQUIVOS HENRIQUE\antigravity\Valuation\bancos\"/>
    </mc:Choice>
  </mc:AlternateContent>
  <xr:revisionPtr revIDLastSave="0" documentId="13_ncr:1_{BBECE793-5F4F-4B3E-8085-9E858127702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etor Bancário" sheetId="1" r:id="rId1"/>
    <sheet name="ROE Comparativo" sheetId="2" r:id="rId2"/>
    <sheet name="Spread de Valor" sheetId="3" r:id="rId3"/>
    <sheet name="Ke Comparativo" sheetId="4" r:id="rId4"/>
    <sheet name="Itaú Unibanco" sheetId="5" r:id="rId5"/>
    <sheet name="Bradesco" sheetId="6" r:id="rId6"/>
    <sheet name="Banco do Brasil" sheetId="7" r:id="rId7"/>
    <sheet name="Santander BR" sheetId="8" r:id="rId8"/>
  </sheets>
  <definedNames>
    <definedName name="SegmentaçãodeDados_Ano">#N/A</definedName>
    <definedName name="SegmentaçãodeDados_Ano1">#N/A</definedName>
    <definedName name="SegmentaçãodeDados_Ano2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  <x14:slicerCache r:id="rId11"/>
      </x15:slicerCaches>
    </ext>
  </extLst>
</workbook>
</file>

<file path=xl/sharedStrings.xml><?xml version="1.0" encoding="utf-8"?>
<sst xmlns="http://schemas.openxmlformats.org/spreadsheetml/2006/main" count="112" uniqueCount="20">
  <si>
    <t>Valuation — Setor Bancário Brasileiro (2005–2024)</t>
  </si>
  <si>
    <t>Banco</t>
  </si>
  <si>
    <t>Ano</t>
  </si>
  <si>
    <t>Lucro_Liquido</t>
  </si>
  <si>
    <t>PL_Controlador</t>
  </si>
  <si>
    <t>PL_Inicial</t>
  </si>
  <si>
    <t>ROE</t>
  </si>
  <si>
    <t>beta</t>
  </si>
  <si>
    <t>Rf</t>
  </si>
  <si>
    <t>Rm</t>
  </si>
  <si>
    <t>Ke</t>
  </si>
  <si>
    <t>spread_valor</t>
  </si>
  <si>
    <t>Itaú Unibanco</t>
  </si>
  <si>
    <t>Bradesco</t>
  </si>
  <si>
    <t>Banco do Brasil</t>
  </si>
  <si>
    <t>Santander BR</t>
  </si>
  <si>
    <t>Valuation — Itaú Unibanco</t>
  </si>
  <si>
    <t>Valuation — Bradesco</t>
  </si>
  <si>
    <t>Valuation — Banco do Brasil</t>
  </si>
  <si>
    <t>Valuation — Santander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</si>
</sst>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1E3A5F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3" fontId="0" fillId="0" borderId="0" xfId="0" applyNumberFormat="1"/>
    <xf numFmtId="10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E3A5F"/>
        </patternFill>
      </fill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E3A5F"/>
        </patternFill>
      </fill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E3A5F"/>
        </patternFill>
      </fill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 sz="1400"/>
              <a:t>ROE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5719658119658115E-2"/>
          <c:y val="0.17238238283798341"/>
          <c:w val="0.94428034188034193"/>
          <c:h val="0.64811827712287406"/>
        </c:manualLayout>
      </c:layout>
      <c:lineChart>
        <c:grouping val="standard"/>
        <c:varyColors val="1"/>
        <c:ser>
          <c:idx val="0"/>
          <c:order val="0"/>
          <c:tx>
            <c:strRef>
              <c:f>'ROE Comparativo'!$B$1</c:f>
              <c:strCache>
                <c:ptCount val="1"/>
                <c:pt idx="0">
                  <c:v>Itaú Unibanco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'ROE Comparativo'!$A$2:$A$15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'ROE Comparativo'!$B$2:$B$15</c:f>
              <c:numCache>
                <c:formatCode>0.00%</c:formatCode>
                <c:ptCount val="9"/>
                <c:pt idx="0">
                  <c:v>0.22047838225307481</c:v>
                </c:pt>
                <c:pt idx="1">
                  <c:v>0.17839899379234789</c:v>
                </c:pt>
                <c:pt idx="2">
                  <c:v>0.21767542357250139</c:v>
                </c:pt>
                <c:pt idx="3">
                  <c:v>0.26267978803936409</c:v>
                </c:pt>
                <c:pt idx="4">
                  <c:v>0.26350997380616559</c:v>
                </c:pt>
                <c:pt idx="5">
                  <c:v>0.21008088942735989</c:v>
                </c:pt>
                <c:pt idx="6">
                  <c:v>0.1979736013444062</c:v>
                </c:pt>
                <c:pt idx="7">
                  <c:v>0.1901438742212993</c:v>
                </c:pt>
                <c:pt idx="8">
                  <c:v>0.20333815852963111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3A-4133-85F9-C9D564949ADC}"/>
            </c:ext>
          </c:extLst>
        </c:ser>
        <c:ser>
          <c:idx val="1"/>
          <c:order val="1"/>
          <c:tx>
            <c:strRef>
              <c:f>'ROE Comparativo'!$C$1</c:f>
              <c:strCache>
                <c:ptCount val="1"/>
                <c:pt idx="0">
                  <c:v>Bradesco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'ROE Comparativo'!$A$2:$A$15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'ROE Comparativo'!$C$2:$C$15</c:f>
              <c:numCache>
                <c:formatCode>0.00%</c:formatCode>
                <c:ptCount val="9"/>
                <c:pt idx="0">
                  <c:v>0.2172218207301316</c:v>
                </c:pt>
                <c:pt idx="1">
                  <c:v>0.19194922420628829</c:v>
                </c:pt>
                <c:pt idx="2">
                  <c:v>0.17552066513696701</c:v>
                </c:pt>
                <c:pt idx="3">
                  <c:v>0.2144623612280544</c:v>
                </c:pt>
                <c:pt idx="4">
                  <c:v>0.22195943052639111</c:v>
                </c:pt>
                <c:pt idx="5">
                  <c:v>0.19818085205009611</c:v>
                </c:pt>
                <c:pt idx="6">
                  <c:v>0.1644273612490893</c:v>
                </c:pt>
                <c:pt idx="7">
                  <c:v>0.14265666509638861</c:v>
                </c:pt>
                <c:pt idx="8">
                  <c:v>0.17037320040389309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3A-4133-85F9-C9D564949ADC}"/>
            </c:ext>
          </c:extLst>
        </c:ser>
        <c:ser>
          <c:idx val="2"/>
          <c:order val="2"/>
          <c:tx>
            <c:strRef>
              <c:f>'ROE Comparativo'!$D$1</c:f>
              <c:strCache>
                <c:ptCount val="1"/>
                <c:pt idx="0">
                  <c:v>Banco do Brasil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'ROE Comparativo'!$A$2:$A$15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'ROE Comparativo'!$D$2:$D$15</c:f>
              <c:numCache>
                <c:formatCode>0.00%</c:formatCode>
                <c:ptCount val="9"/>
                <c:pt idx="0">
                  <c:v>0.2344914853982982</c:v>
                </c:pt>
                <c:pt idx="1">
                  <c:v>0.18286506594266291</c:v>
                </c:pt>
                <c:pt idx="2">
                  <c:v>0.16354819943084559</c:v>
                </c:pt>
                <c:pt idx="3">
                  <c:v>0.18230738133549759</c:v>
                </c:pt>
                <c:pt idx="4">
                  <c:v>0.19316613454610421</c:v>
                </c:pt>
                <c:pt idx="5">
                  <c:v>0.1048917798873899</c:v>
                </c:pt>
                <c:pt idx="6">
                  <c:v>0.1421143476493073</c:v>
                </c:pt>
                <c:pt idx="7">
                  <c:v>0.15495677637747321</c:v>
                </c:pt>
                <c:pt idx="8">
                  <c:v>0.18537420388846471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B3A-4133-85F9-C9D564949ADC}"/>
            </c:ext>
          </c:extLst>
        </c:ser>
        <c:ser>
          <c:idx val="3"/>
          <c:order val="3"/>
          <c:tx>
            <c:strRef>
              <c:f>'ROE Comparativo'!$E$1</c:f>
              <c:strCache>
                <c:ptCount val="1"/>
                <c:pt idx="0">
                  <c:v>Santander BR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'ROE Comparativo'!$A$2:$A$15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'ROE Comparativo'!$E$2:$E$15</c:f>
              <c:numCache>
                <c:formatCode>0.00%</c:formatCode>
                <c:ptCount val="9"/>
                <c:pt idx="0">
                  <c:v>0.1057299349448666</c:v>
                </c:pt>
                <c:pt idx="1">
                  <c:v>6.9979051705104864E-2</c:v>
                </c:pt>
                <c:pt idx="2">
                  <c:v>9.7293327308013933E-2</c:v>
                </c:pt>
                <c:pt idx="3">
                  <c:v>7.0149225720886249E-2</c:v>
                </c:pt>
                <c:pt idx="4">
                  <c:v>0.12558664329084199</c:v>
                </c:pt>
                <c:pt idx="5">
                  <c:v>9.4016336629386243E-2</c:v>
                </c:pt>
                <c:pt idx="6">
                  <c:v>0.1086736596970842</c:v>
                </c:pt>
                <c:pt idx="7">
                  <c:v>0.14771856391200591</c:v>
                </c:pt>
                <c:pt idx="8">
                  <c:v>0.1827574128839336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B3A-4133-85F9-C9D564949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4564102564102563"/>
          <c:y val="0.11560693641618497"/>
          <c:w val="0.50844209401709406"/>
          <c:h val="6.9683673933821855E-2"/>
        </c:manualLayout>
      </c:layout>
      <c:overlay val="0"/>
      <c:txPr>
        <a:bodyPr/>
        <a:lstStyle/>
        <a:p>
          <a:pPr>
            <a:defRPr b="1"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Spread de Valor (ROE − Ke) por Banco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9350922637938225E-2"/>
          <c:y val="0.26623460528972342"/>
          <c:w val="0.87637555109532872"/>
          <c:h val="0.662951746416313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'Spread de Valor'!$B$1</c:f>
              <c:strCache>
                <c:ptCount val="1"/>
                <c:pt idx="0">
                  <c:v>Itaú Unibanco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dLbl>
              <c:idx val="0"/>
              <c:layout>
                <c:manualLayout>
                  <c:x val="-5.18806744487678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D2-49D9-9E52-53B273CDE973}"/>
                </c:ext>
              </c:extLst>
            </c:dLbl>
            <c:dLbl>
              <c:idx val="1"/>
              <c:layout>
                <c:manualLayout>
                  <c:x val="-1.0376134889753566E-2"/>
                  <c:y val="1.87793427230046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D2-49D9-9E52-53B273CDE973}"/>
                </c:ext>
              </c:extLst>
            </c:dLbl>
            <c:dLbl>
              <c:idx val="2"/>
              <c:layout>
                <c:manualLayout>
                  <c:x val="-1.1673151750972763E-2"/>
                  <c:y val="1.40845070422535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0D2-49D9-9E52-53B273CDE973}"/>
                </c:ext>
              </c:extLst>
            </c:dLbl>
            <c:dLbl>
              <c:idx val="3"/>
              <c:layout>
                <c:manualLayout>
                  <c:x val="-6.485084306096026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0D2-49D9-9E52-53B273CDE973}"/>
                </c:ext>
              </c:extLst>
            </c:dLbl>
            <c:dLbl>
              <c:idx val="4"/>
              <c:layout>
                <c:manualLayout>
                  <c:x val="-1.0376134889753566E-2"/>
                  <c:y val="4.69483568075113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0D2-49D9-9E52-53B273CDE973}"/>
                </c:ext>
              </c:extLst>
            </c:dLbl>
            <c:dLbl>
              <c:idx val="5"/>
              <c:layout>
                <c:manualLayout>
                  <c:x val="-7.7821011673151752E-3"/>
                  <c:y val="8.607099318098023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0D2-49D9-9E52-53B273CDE973}"/>
                </c:ext>
              </c:extLst>
            </c:dLbl>
            <c:dLbl>
              <c:idx val="6"/>
              <c:layout>
                <c:manualLayout>
                  <c:x val="-3.8910505836575876E-3"/>
                  <c:y val="-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0D2-49D9-9E52-53B273CDE973}"/>
                </c:ext>
              </c:extLst>
            </c:dLbl>
            <c:dLbl>
              <c:idx val="8"/>
              <c:layout>
                <c:manualLayout>
                  <c:x val="-7.7821011673151752E-3"/>
                  <c:y val="-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0D2-49D9-9E52-53B273CDE97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'Spread de Valor'!$A$2:$A$15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'Spread de Valor'!$B$2:$B$15</c:f>
              <c:numCache>
                <c:formatCode>0.00%</c:formatCode>
                <c:ptCount val="9"/>
                <c:pt idx="0">
                  <c:v>0.44665705217405471</c:v>
                </c:pt>
                <c:pt idx="1">
                  <c:v>0.15685601834078991</c:v>
                </c:pt>
                <c:pt idx="2">
                  <c:v>0.42594503395501082</c:v>
                </c:pt>
                <c:pt idx="3">
                  <c:v>0.28349587730887871</c:v>
                </c:pt>
                <c:pt idx="4">
                  <c:v>0.39922718772403393</c:v>
                </c:pt>
                <c:pt idx="5">
                  <c:v>-0.25452577701595369</c:v>
                </c:pt>
                <c:pt idx="6">
                  <c:v>-0.10658039424337271</c:v>
                </c:pt>
                <c:pt idx="7">
                  <c:v>5.3959156919367118E-2</c:v>
                </c:pt>
                <c:pt idx="8">
                  <c:v>-9.7127396816228978E-2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2-49D9-9E52-53B273CDE973}"/>
            </c:ext>
          </c:extLst>
        </c:ser>
        <c:ser>
          <c:idx val="1"/>
          <c:order val="1"/>
          <c:tx>
            <c:strRef>
              <c:f>'Spread de Valor'!$C$1</c:f>
              <c:strCache>
                <c:ptCount val="1"/>
                <c:pt idx="0">
                  <c:v>Bradesco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dLbl>
              <c:idx val="0"/>
              <c:layout>
                <c:manualLayout>
                  <c:x val="2.594033722438379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D2-49D9-9E52-53B273CDE973}"/>
                </c:ext>
              </c:extLst>
            </c:dLbl>
            <c:dLbl>
              <c:idx val="5"/>
              <c:layout>
                <c:manualLayout>
                  <c:x val="0"/>
                  <c:y val="-3.75586854460092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0D2-49D9-9E52-53B273CDE97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'Spread de Valor'!$A$2:$A$15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'Spread de Valor'!$C$2:$C$15</c:f>
              <c:numCache>
                <c:formatCode>0.00%</c:formatCode>
                <c:ptCount val="9"/>
                <c:pt idx="0">
                  <c:v>0.46854398213398191</c:v>
                </c:pt>
                <c:pt idx="1">
                  <c:v>0.1750612611304781</c:v>
                </c:pt>
                <c:pt idx="2">
                  <c:v>0.40512253318334351</c:v>
                </c:pt>
                <c:pt idx="3">
                  <c:v>0.2448147936405404</c:v>
                </c:pt>
                <c:pt idx="4">
                  <c:v>0.37738673617780188</c:v>
                </c:pt>
                <c:pt idx="5">
                  <c:v>-0.29024991851184939</c:v>
                </c:pt>
                <c:pt idx="6">
                  <c:v>-0.15519277287186869</c:v>
                </c:pt>
                <c:pt idx="7">
                  <c:v>1.192127328191378E-3</c:v>
                </c:pt>
                <c:pt idx="8">
                  <c:v>-0.14778060636002729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2-49D9-9E52-53B273CDE973}"/>
            </c:ext>
          </c:extLst>
        </c:ser>
        <c:ser>
          <c:idx val="2"/>
          <c:order val="2"/>
          <c:tx>
            <c:strRef>
              <c:f>'Spread de Valor'!$D$1</c:f>
              <c:strCache>
                <c:ptCount val="1"/>
                <c:pt idx="0">
                  <c:v>Banco do 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dLbl>
              <c:idx val="0"/>
              <c:layout>
                <c:manualLayout>
                  <c:x val="5.1880674448767832E-3"/>
                  <c:y val="-4.69483568075117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D2-49D9-9E52-53B273CDE973}"/>
                </c:ext>
              </c:extLst>
            </c:dLbl>
            <c:dLbl>
              <c:idx val="1"/>
              <c:layout>
                <c:manualLayout>
                  <c:x val="7.7821011673151752E-3"/>
                  <c:y val="-4.69483568075117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D2-49D9-9E52-53B273CDE973}"/>
                </c:ext>
              </c:extLst>
            </c:dLbl>
            <c:dLbl>
              <c:idx val="2"/>
              <c:layout>
                <c:manualLayout>
                  <c:x val="1.1673151750972714E-2"/>
                  <c:y val="-4.69483568075117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D2-49D9-9E52-53B273CDE973}"/>
                </c:ext>
              </c:extLst>
            </c:dLbl>
            <c:dLbl>
              <c:idx val="3"/>
              <c:layout>
                <c:manualLayout>
                  <c:x val="7.7821011673151752E-3"/>
                  <c:y val="-4.69483568075117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0D2-49D9-9E52-53B273CDE973}"/>
                </c:ext>
              </c:extLst>
            </c:dLbl>
            <c:dLbl>
              <c:idx val="4"/>
              <c:layout>
                <c:manualLayout>
                  <c:x val="1.037613488975356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0D2-49D9-9E52-53B273CDE973}"/>
                </c:ext>
              </c:extLst>
            </c:dLbl>
            <c:dLbl>
              <c:idx val="7"/>
              <c:layout>
                <c:manualLayout>
                  <c:x val="0"/>
                  <c:y val="9.389671361502346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0D2-49D9-9E52-53B273CDE973}"/>
                </c:ext>
              </c:extLst>
            </c:dLbl>
            <c:dLbl>
              <c:idx val="8"/>
              <c:layout>
                <c:manualLayout>
                  <c:x val="1.0376134889753566E-2"/>
                  <c:y val="-2.81690140845070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0D2-49D9-9E52-53B273CDE97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'Spread de Valor'!$A$2:$A$15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'Spread de Valor'!$D$2:$D$15</c:f>
              <c:numCache>
                <c:formatCode>0.00%</c:formatCode>
                <c:ptCount val="9"/>
                <c:pt idx="0">
                  <c:v>0.56128696347965801</c:v>
                </c:pt>
                <c:pt idx="1">
                  <c:v>0.17995007171296101</c:v>
                </c:pt>
                <c:pt idx="2">
                  <c:v>0.45718318870098451</c:v>
                </c:pt>
                <c:pt idx="3">
                  <c:v>0.2412850922406391</c:v>
                </c:pt>
                <c:pt idx="4">
                  <c:v>0.40775729960669338</c:v>
                </c:pt>
                <c:pt idx="5">
                  <c:v>-0.45505189714295319</c:v>
                </c:pt>
                <c:pt idx="6">
                  <c:v>-0.22272987340470579</c:v>
                </c:pt>
                <c:pt idx="7">
                  <c:v>-2.3562191246981061E-3</c:v>
                </c:pt>
                <c:pt idx="8">
                  <c:v>-0.1858744963056766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2-49D9-9E52-53B273CDE973}"/>
            </c:ext>
          </c:extLst>
        </c:ser>
        <c:ser>
          <c:idx val="3"/>
          <c:order val="3"/>
          <c:tx>
            <c:strRef>
              <c:f>'Spread de Valor'!$E$1</c:f>
              <c:strCache>
                <c:ptCount val="1"/>
                <c:pt idx="0">
                  <c:v>Santander BR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dLbl>
              <c:idx val="6"/>
              <c:layout>
                <c:manualLayout>
                  <c:x val="7.7821011673151752E-3"/>
                  <c:y val="4.69483568075117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0D2-49D9-9E52-53B273CDE973}"/>
                </c:ext>
              </c:extLst>
            </c:dLbl>
            <c:dLbl>
              <c:idx val="8"/>
              <c:layout>
                <c:manualLayout>
                  <c:x val="1.2970168612191768E-2"/>
                  <c:y val="-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0D2-49D9-9E52-53B273CDE97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'Spread de Valor'!$A$2:$A$15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'Spread de Valor'!$E$2:$E$15</c:f>
              <c:numCache>
                <c:formatCode>0.00%</c:formatCode>
                <c:ptCount val="9"/>
                <c:pt idx="0">
                  <c:v>0.3144534924266299</c:v>
                </c:pt>
                <c:pt idx="1">
                  <c:v>4.520447397269501E-2</c:v>
                </c:pt>
                <c:pt idx="2">
                  <c:v>0.2907536596569289</c:v>
                </c:pt>
                <c:pt idx="3">
                  <c:v>8.4344995694931452E-2</c:v>
                </c:pt>
                <c:pt idx="4">
                  <c:v>0.24762071906416719</c:v>
                </c:pt>
                <c:pt idx="5">
                  <c:v>-0.35405116235432332</c:v>
                </c:pt>
                <c:pt idx="6">
                  <c:v>-0.1854211225272436</c:v>
                </c:pt>
                <c:pt idx="7">
                  <c:v>1.5199203108407189E-2</c:v>
                </c:pt>
                <c:pt idx="8">
                  <c:v>-0.1054286061228417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D2-49D9-9E52-53B273CDE9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Spread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2990411813694426"/>
          <c:y val="0.1351981351981352"/>
          <c:w val="0.3467040579224544"/>
          <c:h val="7.8671879301800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 sz="1400"/>
              <a:t>Custo de Capital (Ke) por Banco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2585256410256404E-2"/>
          <c:y val="0.12625039682539679"/>
          <c:w val="0.92248952991452993"/>
          <c:h val="0.84102517623363549"/>
        </c:manualLayout>
      </c:layout>
      <c:lineChart>
        <c:grouping val="standard"/>
        <c:varyColors val="1"/>
        <c:ser>
          <c:idx val="0"/>
          <c:order val="0"/>
          <c:tx>
            <c:strRef>
              <c:f>'Ke Comparativo'!$B$1</c:f>
              <c:strCache>
                <c:ptCount val="1"/>
                <c:pt idx="0">
                  <c:v>Itaú Unibanco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'Ke Comparativo'!$A$2:$A$15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'Ke Comparativo'!$B$2:$B$15</c:f>
              <c:numCache>
                <c:formatCode>0.00%</c:formatCode>
                <c:ptCount val="9"/>
                <c:pt idx="0">
                  <c:v>-0.2261786699209799</c:v>
                </c:pt>
                <c:pt idx="1">
                  <c:v>2.1542975451558019E-2</c:v>
                </c:pt>
                <c:pt idx="2">
                  <c:v>-0.20826961038250941</c:v>
                </c:pt>
                <c:pt idx="3">
                  <c:v>-2.0816089269514611E-2</c:v>
                </c:pt>
                <c:pt idx="4">
                  <c:v>-0.1357172139178682</c:v>
                </c:pt>
                <c:pt idx="5">
                  <c:v>0.46460666644331361</c:v>
                </c:pt>
                <c:pt idx="6">
                  <c:v>0.30455399558777879</c:v>
                </c:pt>
                <c:pt idx="7">
                  <c:v>0.13618471730193221</c:v>
                </c:pt>
                <c:pt idx="8">
                  <c:v>0.30046555534586011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B6-4DC8-B268-5315893403F8}"/>
            </c:ext>
          </c:extLst>
        </c:ser>
        <c:ser>
          <c:idx val="1"/>
          <c:order val="1"/>
          <c:tx>
            <c:strRef>
              <c:f>'Ke Comparativo'!$C$1</c:f>
              <c:strCache>
                <c:ptCount val="1"/>
                <c:pt idx="0">
                  <c:v>Bradesco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'Ke Comparativo'!$A$2:$A$15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'Ke Comparativo'!$C$2:$C$15</c:f>
              <c:numCache>
                <c:formatCode>0.00%</c:formatCode>
                <c:ptCount val="9"/>
                <c:pt idx="0">
                  <c:v>-0.25132216140385027</c:v>
                </c:pt>
                <c:pt idx="1">
                  <c:v>1.6887963075810229E-2</c:v>
                </c:pt>
                <c:pt idx="2">
                  <c:v>-0.22960186804637661</c:v>
                </c:pt>
                <c:pt idx="3">
                  <c:v>-3.0352432412485999E-2</c:v>
                </c:pt>
                <c:pt idx="4">
                  <c:v>-0.1554273056514108</c:v>
                </c:pt>
                <c:pt idx="5">
                  <c:v>0.4884307705619455</c:v>
                </c:pt>
                <c:pt idx="6">
                  <c:v>0.31962013412095802</c:v>
                </c:pt>
                <c:pt idx="7">
                  <c:v>0.1414645377681972</c:v>
                </c:pt>
                <c:pt idx="8">
                  <c:v>0.31815380676392041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B6-4DC8-B268-5315893403F8}"/>
            </c:ext>
          </c:extLst>
        </c:ser>
        <c:ser>
          <c:idx val="2"/>
          <c:order val="2"/>
          <c:tx>
            <c:strRef>
              <c:f>'Ke Comparativo'!$D$1</c:f>
              <c:strCache>
                <c:ptCount val="1"/>
                <c:pt idx="0">
                  <c:v>Banco do Brasil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'Ke Comparativo'!$A$2:$A$15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'Ke Comparativo'!$D$2:$D$15</c:f>
              <c:numCache>
                <c:formatCode>0.00%</c:formatCode>
                <c:ptCount val="9"/>
                <c:pt idx="0">
                  <c:v>-0.32679547808135972</c:v>
                </c:pt>
                <c:pt idx="1">
                  <c:v>2.9149942297018588E-3</c:v>
                </c:pt>
                <c:pt idx="2">
                  <c:v>-0.29363498927013892</c:v>
                </c:pt>
                <c:pt idx="3">
                  <c:v>-5.8977710905141423E-2</c:v>
                </c:pt>
                <c:pt idx="4">
                  <c:v>-0.21459116506058909</c:v>
                </c:pt>
                <c:pt idx="5">
                  <c:v>0.55994367703034309</c:v>
                </c:pt>
                <c:pt idx="6">
                  <c:v>0.3648442210540131</c:v>
                </c:pt>
                <c:pt idx="7">
                  <c:v>0.15731299550217129</c:v>
                </c:pt>
                <c:pt idx="8">
                  <c:v>0.3712487001941413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AB6-4DC8-B268-5315893403F8}"/>
            </c:ext>
          </c:extLst>
        </c:ser>
        <c:ser>
          <c:idx val="3"/>
          <c:order val="3"/>
          <c:tx>
            <c:strRef>
              <c:f>'Ke Comparativo'!$E$1</c:f>
              <c:strCache>
                <c:ptCount val="1"/>
                <c:pt idx="0">
                  <c:v>Santander BR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'Ke Comparativo'!$A$2:$A$15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'Ke Comparativo'!$E$2:$E$15</c:f>
              <c:numCache>
                <c:formatCode>0.00%</c:formatCode>
                <c:ptCount val="9"/>
                <c:pt idx="0">
                  <c:v>-0.20872355748176341</c:v>
                </c:pt>
                <c:pt idx="1">
                  <c:v>2.4774577732409851E-2</c:v>
                </c:pt>
                <c:pt idx="2">
                  <c:v>-0.19346033234891499</c:v>
                </c:pt>
                <c:pt idx="3">
                  <c:v>-1.4195769974045201E-2</c:v>
                </c:pt>
                <c:pt idx="4">
                  <c:v>-0.1220340757733251</c:v>
                </c:pt>
                <c:pt idx="5">
                  <c:v>0.44806749898370951</c:v>
                </c:pt>
                <c:pt idx="6">
                  <c:v>0.29409478222432778</c:v>
                </c:pt>
                <c:pt idx="7">
                  <c:v>0.13251936080359869</c:v>
                </c:pt>
                <c:pt idx="8">
                  <c:v>0.28818601900677532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AB6-4DC8-B268-5315893403F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0579659193848974"/>
          <c:y val="8.8496150257432654E-2"/>
          <c:w val="0.44098365577496446"/>
          <c:h val="6.1663813762410133E-2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Itaú Unibanco — ROE vs Ke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'Itaú Unibanco'!$E$3</c:f>
              <c:strCache>
                <c:ptCount val="1"/>
                <c:pt idx="0">
                  <c:v>ROE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'Itaú Unibanco'!$A$4:$A$17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'Itaú Unibanco'!$E$4:$E$17</c:f>
              <c:numCache>
                <c:formatCode>0.00%</c:formatCode>
                <c:ptCount val="14"/>
                <c:pt idx="0">
                  <c:v>0.22047838225307481</c:v>
                </c:pt>
                <c:pt idx="1">
                  <c:v>0.17839899379234789</c:v>
                </c:pt>
                <c:pt idx="2">
                  <c:v>0.21767542357250139</c:v>
                </c:pt>
                <c:pt idx="3">
                  <c:v>0.26267978803936409</c:v>
                </c:pt>
                <c:pt idx="4">
                  <c:v>0.26350997380616559</c:v>
                </c:pt>
                <c:pt idx="5">
                  <c:v>0.21008088942735989</c:v>
                </c:pt>
                <c:pt idx="6">
                  <c:v>0.1979736013444062</c:v>
                </c:pt>
                <c:pt idx="7">
                  <c:v>0.1901438742212993</c:v>
                </c:pt>
                <c:pt idx="8">
                  <c:v>0.20333815852963111</c:v>
                </c:pt>
                <c:pt idx="9">
                  <c:v>0.1100164323534782</c:v>
                </c:pt>
                <c:pt idx="10">
                  <c:v>0.1984992272348996</c:v>
                </c:pt>
                <c:pt idx="11">
                  <c:v>0.20107415742097551</c:v>
                </c:pt>
                <c:pt idx="12">
                  <c:v>0.201705238965663</c:v>
                </c:pt>
                <c:pt idx="13">
                  <c:v>0.2215199524653349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92-40AD-A47D-E9988A4F9E66}"/>
            </c:ext>
          </c:extLst>
        </c:ser>
        <c:ser>
          <c:idx val="1"/>
          <c:order val="1"/>
          <c:tx>
            <c:strRef>
              <c:f>'Itaú Unibanco'!$I$3</c:f>
              <c:strCache>
                <c:ptCount val="1"/>
                <c:pt idx="0">
                  <c:v>Ke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'Itaú Unibanco'!$A$4:$A$17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'Itaú Unibanco'!$I$4:$I$17</c:f>
              <c:numCache>
                <c:formatCode>0.00%</c:formatCode>
                <c:ptCount val="14"/>
                <c:pt idx="0">
                  <c:v>-0.2261786699209799</c:v>
                </c:pt>
                <c:pt idx="1">
                  <c:v>2.1542975451558019E-2</c:v>
                </c:pt>
                <c:pt idx="2">
                  <c:v>-0.20826961038250941</c:v>
                </c:pt>
                <c:pt idx="3">
                  <c:v>-2.0816089269514611E-2</c:v>
                </c:pt>
                <c:pt idx="4">
                  <c:v>-0.1357172139178682</c:v>
                </c:pt>
                <c:pt idx="5">
                  <c:v>0.46460666644331361</c:v>
                </c:pt>
                <c:pt idx="6">
                  <c:v>0.30455399558777879</c:v>
                </c:pt>
                <c:pt idx="7">
                  <c:v>0.13618471730193221</c:v>
                </c:pt>
                <c:pt idx="8">
                  <c:v>0.30046555534586011</c:v>
                </c:pt>
                <c:pt idx="9">
                  <c:v>3.5588095824469058E-3</c:v>
                </c:pt>
                <c:pt idx="10">
                  <c:v>-0.135485428936716</c:v>
                </c:pt>
                <c:pt idx="11">
                  <c:v>5.0800558493227427E-2</c:v>
                </c:pt>
                <c:pt idx="12">
                  <c:v>0.27748478002864257</c:v>
                </c:pt>
                <c:pt idx="13">
                  <c:v>-0.11835340618145319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92-40AD-A47D-E9988A4F9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Taxa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Itaú Unibanco — Spread de Valor (ROE − Ke)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'Itaú Unibanco'!$J$3</c:f>
              <c:strCache>
                <c:ptCount val="1"/>
                <c:pt idx="0">
                  <c:v>spread_valor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'Itaú Unibanco'!$A$4:$A$17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'Itaú Unibanco'!$J$4:$J$17</c:f>
              <c:numCache>
                <c:formatCode>0.00%</c:formatCode>
                <c:ptCount val="14"/>
                <c:pt idx="0">
                  <c:v>0.44665705217405471</c:v>
                </c:pt>
                <c:pt idx="1">
                  <c:v>0.15685601834078991</c:v>
                </c:pt>
                <c:pt idx="2">
                  <c:v>0.42594503395501082</c:v>
                </c:pt>
                <c:pt idx="3">
                  <c:v>0.28349587730887871</c:v>
                </c:pt>
                <c:pt idx="4">
                  <c:v>0.39922718772403393</c:v>
                </c:pt>
                <c:pt idx="5">
                  <c:v>-0.25452577701595369</c:v>
                </c:pt>
                <c:pt idx="6">
                  <c:v>-0.10658039424337271</c:v>
                </c:pt>
                <c:pt idx="7">
                  <c:v>5.3959156919367118E-2</c:v>
                </c:pt>
                <c:pt idx="8">
                  <c:v>-9.7127396816228978E-2</c:v>
                </c:pt>
                <c:pt idx="9">
                  <c:v>0.1064576227710313</c:v>
                </c:pt>
                <c:pt idx="10">
                  <c:v>0.33398465617161571</c:v>
                </c:pt>
                <c:pt idx="11">
                  <c:v>0.15027359892774811</c:v>
                </c:pt>
                <c:pt idx="12">
                  <c:v>-7.5779541062979627E-2</c:v>
                </c:pt>
                <c:pt idx="13">
                  <c:v>0.33987335864678808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1-49DA-A15F-D2D670895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Spread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Bradesco — ROE vs Ke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Bradesco!$E$3</c:f>
              <c:strCache>
                <c:ptCount val="1"/>
                <c:pt idx="0">
                  <c:v>ROE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Bradesco!$A$4:$A$12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Bradesco!$E$4:$E$12</c:f>
              <c:numCache>
                <c:formatCode>0.00%</c:formatCode>
                <c:ptCount val="9"/>
                <c:pt idx="0">
                  <c:v>0.2172218207301316</c:v>
                </c:pt>
                <c:pt idx="1">
                  <c:v>0.19194922420628829</c:v>
                </c:pt>
                <c:pt idx="2">
                  <c:v>0.17552066513696701</c:v>
                </c:pt>
                <c:pt idx="3">
                  <c:v>0.2144623612280544</c:v>
                </c:pt>
                <c:pt idx="4">
                  <c:v>0.22195943052639111</c:v>
                </c:pt>
                <c:pt idx="5">
                  <c:v>0.19818085205009611</c:v>
                </c:pt>
                <c:pt idx="6">
                  <c:v>0.1644273612490893</c:v>
                </c:pt>
                <c:pt idx="7">
                  <c:v>0.14265666509638861</c:v>
                </c:pt>
                <c:pt idx="8">
                  <c:v>0.17037320040389309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FE-497B-A830-4963134BD489}"/>
            </c:ext>
          </c:extLst>
        </c:ser>
        <c:ser>
          <c:idx val="1"/>
          <c:order val="1"/>
          <c:tx>
            <c:strRef>
              <c:f>Bradesco!$I$3</c:f>
              <c:strCache>
                <c:ptCount val="1"/>
                <c:pt idx="0">
                  <c:v>Ke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Bradesco!$A$4:$A$12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Bradesco!$I$4:$I$12</c:f>
              <c:numCache>
                <c:formatCode>0.00%</c:formatCode>
                <c:ptCount val="9"/>
                <c:pt idx="0">
                  <c:v>-0.25132216140385027</c:v>
                </c:pt>
                <c:pt idx="1">
                  <c:v>1.6887963075810229E-2</c:v>
                </c:pt>
                <c:pt idx="2">
                  <c:v>-0.22960186804637661</c:v>
                </c:pt>
                <c:pt idx="3">
                  <c:v>-3.0352432412485999E-2</c:v>
                </c:pt>
                <c:pt idx="4">
                  <c:v>-0.1554273056514108</c:v>
                </c:pt>
                <c:pt idx="5">
                  <c:v>0.4884307705619455</c:v>
                </c:pt>
                <c:pt idx="6">
                  <c:v>0.31962013412095802</c:v>
                </c:pt>
                <c:pt idx="7">
                  <c:v>0.1414645377681972</c:v>
                </c:pt>
                <c:pt idx="8">
                  <c:v>0.31815380676392041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FE-497B-A830-4963134BD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Taxa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Bradesco — Spread de Valor (ROE − Ke)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Bradesco!$J$3</c:f>
              <c:strCache>
                <c:ptCount val="1"/>
                <c:pt idx="0">
                  <c:v>spread_valor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Bradesco!$A$4:$A$12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Bradesco!$J$4:$J$12</c:f>
              <c:numCache>
                <c:formatCode>0.00%</c:formatCode>
                <c:ptCount val="9"/>
                <c:pt idx="0">
                  <c:v>0.46854398213398191</c:v>
                </c:pt>
                <c:pt idx="1">
                  <c:v>0.1750612611304781</c:v>
                </c:pt>
                <c:pt idx="2">
                  <c:v>0.40512253318334351</c:v>
                </c:pt>
                <c:pt idx="3">
                  <c:v>0.2448147936405404</c:v>
                </c:pt>
                <c:pt idx="4">
                  <c:v>0.37738673617780188</c:v>
                </c:pt>
                <c:pt idx="5">
                  <c:v>-0.29024991851184939</c:v>
                </c:pt>
                <c:pt idx="6">
                  <c:v>-0.15519277287186869</c:v>
                </c:pt>
                <c:pt idx="7">
                  <c:v>1.192127328191378E-3</c:v>
                </c:pt>
                <c:pt idx="8">
                  <c:v>-0.14778060636002729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3-4B5D-BB39-94BF7565F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Spread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Banco do Brasil — ROE vs Ke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'Banco do Brasil'!$E$3</c:f>
              <c:strCache>
                <c:ptCount val="1"/>
                <c:pt idx="0">
                  <c:v>ROE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'Banco do Brasil'!$A$4:$A$12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'Banco do Brasil'!$E$4:$E$12</c:f>
              <c:numCache>
                <c:formatCode>0.00%</c:formatCode>
                <c:ptCount val="9"/>
                <c:pt idx="0">
                  <c:v>0.2344914853982982</c:v>
                </c:pt>
                <c:pt idx="1">
                  <c:v>0.18286506594266291</c:v>
                </c:pt>
                <c:pt idx="2">
                  <c:v>0.16354819943084559</c:v>
                </c:pt>
                <c:pt idx="3">
                  <c:v>0.18230738133549759</c:v>
                </c:pt>
                <c:pt idx="4">
                  <c:v>0.19316613454610421</c:v>
                </c:pt>
                <c:pt idx="5">
                  <c:v>0.1048917798873899</c:v>
                </c:pt>
                <c:pt idx="6">
                  <c:v>0.1421143476493073</c:v>
                </c:pt>
                <c:pt idx="7">
                  <c:v>0.15495677637747321</c:v>
                </c:pt>
                <c:pt idx="8">
                  <c:v>0.18537420388846471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AA-4759-AB26-84B303EC6B26}"/>
            </c:ext>
          </c:extLst>
        </c:ser>
        <c:ser>
          <c:idx val="1"/>
          <c:order val="1"/>
          <c:tx>
            <c:strRef>
              <c:f>'Banco do Brasil'!$I$3</c:f>
              <c:strCache>
                <c:ptCount val="1"/>
                <c:pt idx="0">
                  <c:v>Ke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'Banco do Brasil'!$A$4:$A$12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'Banco do Brasil'!$I$4:$I$12</c:f>
              <c:numCache>
                <c:formatCode>0.00%</c:formatCode>
                <c:ptCount val="9"/>
                <c:pt idx="0">
                  <c:v>-0.32679547808135972</c:v>
                </c:pt>
                <c:pt idx="1">
                  <c:v>2.9149942297018588E-3</c:v>
                </c:pt>
                <c:pt idx="2">
                  <c:v>-0.29363498927013892</c:v>
                </c:pt>
                <c:pt idx="3">
                  <c:v>-5.8977710905141423E-2</c:v>
                </c:pt>
                <c:pt idx="4">
                  <c:v>-0.21459116506058909</c:v>
                </c:pt>
                <c:pt idx="5">
                  <c:v>0.55994367703034309</c:v>
                </c:pt>
                <c:pt idx="6">
                  <c:v>0.3648442210540131</c:v>
                </c:pt>
                <c:pt idx="7">
                  <c:v>0.15731299550217129</c:v>
                </c:pt>
                <c:pt idx="8">
                  <c:v>0.3712487001941413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AA-4759-AB26-84B303EC6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Taxa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Banco do Brasil — Spread de Valor (ROE − Ke)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'Banco do Brasil'!$J$3</c:f>
              <c:strCache>
                <c:ptCount val="1"/>
                <c:pt idx="0">
                  <c:v>spread_valor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'Banco do Brasil'!$A$4:$A$12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'Banco do Brasil'!$J$4:$J$12</c:f>
              <c:numCache>
                <c:formatCode>0.00%</c:formatCode>
                <c:ptCount val="9"/>
                <c:pt idx="0">
                  <c:v>0.56128696347965801</c:v>
                </c:pt>
                <c:pt idx="1">
                  <c:v>0.17995007171296101</c:v>
                </c:pt>
                <c:pt idx="2">
                  <c:v>0.45718318870098451</c:v>
                </c:pt>
                <c:pt idx="3">
                  <c:v>0.2412850922406391</c:v>
                </c:pt>
                <c:pt idx="4">
                  <c:v>0.40775729960669338</c:v>
                </c:pt>
                <c:pt idx="5">
                  <c:v>-0.45505189714295319</c:v>
                </c:pt>
                <c:pt idx="6">
                  <c:v>-0.22272987340470579</c:v>
                </c:pt>
                <c:pt idx="7">
                  <c:v>-2.3562191246981061E-3</c:v>
                </c:pt>
                <c:pt idx="8">
                  <c:v>-0.1858744963056766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8-4F51-A5DB-4DDB87E41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Spread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Santander BR — ROE vs Ke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'Santander BR'!$E$3</c:f>
              <c:strCache>
                <c:ptCount val="1"/>
                <c:pt idx="0">
                  <c:v>ROE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'Santander BR'!$A$4:$A$12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'Santander BR'!$E$4:$E$12</c:f>
              <c:numCache>
                <c:formatCode>0.00%</c:formatCode>
                <c:ptCount val="9"/>
                <c:pt idx="0">
                  <c:v>0.1057299349448666</c:v>
                </c:pt>
                <c:pt idx="1">
                  <c:v>6.9979051705104864E-2</c:v>
                </c:pt>
                <c:pt idx="2">
                  <c:v>9.7293327308013933E-2</c:v>
                </c:pt>
                <c:pt idx="3">
                  <c:v>7.0149225720886249E-2</c:v>
                </c:pt>
                <c:pt idx="4">
                  <c:v>0.12558664329084199</c:v>
                </c:pt>
                <c:pt idx="5">
                  <c:v>9.4016336629386243E-2</c:v>
                </c:pt>
                <c:pt idx="6">
                  <c:v>0.1086736596970842</c:v>
                </c:pt>
                <c:pt idx="7">
                  <c:v>0.14771856391200591</c:v>
                </c:pt>
                <c:pt idx="8">
                  <c:v>0.1827574128839336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59-428D-A982-E3CD8F59F4E7}"/>
            </c:ext>
          </c:extLst>
        </c:ser>
        <c:ser>
          <c:idx val="1"/>
          <c:order val="1"/>
          <c:tx>
            <c:strRef>
              <c:f>'Santander BR'!$I$3</c:f>
              <c:strCache>
                <c:ptCount val="1"/>
                <c:pt idx="0">
                  <c:v>Ke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'Santander BR'!$A$4:$A$12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'Santander BR'!$I$4:$I$12</c:f>
              <c:numCache>
                <c:formatCode>0.00%</c:formatCode>
                <c:ptCount val="9"/>
                <c:pt idx="0">
                  <c:v>-0.20872355748176341</c:v>
                </c:pt>
                <c:pt idx="1">
                  <c:v>2.4774577732409851E-2</c:v>
                </c:pt>
                <c:pt idx="2">
                  <c:v>-0.19346033234891499</c:v>
                </c:pt>
                <c:pt idx="3">
                  <c:v>-1.4195769974045201E-2</c:v>
                </c:pt>
                <c:pt idx="4">
                  <c:v>-0.1220340757733251</c:v>
                </c:pt>
                <c:pt idx="5">
                  <c:v>0.44806749898370951</c:v>
                </c:pt>
                <c:pt idx="6">
                  <c:v>0.29409478222432778</c:v>
                </c:pt>
                <c:pt idx="7">
                  <c:v>0.13251936080359869</c:v>
                </c:pt>
                <c:pt idx="8">
                  <c:v>0.28818601900677532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59-428D-A982-E3CD8F59F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Taxa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Santander BR — Spread de Valor (ROE − Ke)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'Santander BR'!$J$3</c:f>
              <c:strCache>
                <c:ptCount val="1"/>
                <c:pt idx="0">
                  <c:v>spread_valor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'Santander BR'!$A$4:$A$12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'Santander BR'!$J$4:$J$12</c:f>
              <c:numCache>
                <c:formatCode>0.00%</c:formatCode>
                <c:ptCount val="9"/>
                <c:pt idx="0">
                  <c:v>0.3144534924266299</c:v>
                </c:pt>
                <c:pt idx="1">
                  <c:v>4.520447397269501E-2</c:v>
                </c:pt>
                <c:pt idx="2">
                  <c:v>0.2907536596569289</c:v>
                </c:pt>
                <c:pt idx="3">
                  <c:v>8.4344995694931452E-2</c:v>
                </c:pt>
                <c:pt idx="4">
                  <c:v>0.24762071906416719</c:v>
                </c:pt>
                <c:pt idx="5">
                  <c:v>-0.35405116235432332</c:v>
                </c:pt>
                <c:pt idx="6">
                  <c:v>-0.1854211225272436</c:v>
                </c:pt>
                <c:pt idx="7">
                  <c:v>1.5199203108407189E-2</c:v>
                </c:pt>
                <c:pt idx="8">
                  <c:v>-0.1054286061228417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8-4D16-A332-FE063881E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Spread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16</xdr:row>
      <xdr:rowOff>95251</xdr:rowOff>
    </xdr:from>
    <xdr:ext cx="9360000" cy="3295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absolute">
    <xdr:from>
      <xdr:col>5</xdr:col>
      <xdr:colOff>457200</xdr:colOff>
      <xdr:row>0</xdr:row>
      <xdr:rowOff>1</xdr:rowOff>
    </xdr:from>
    <xdr:to>
      <xdr:col>9</xdr:col>
      <xdr:colOff>590550</xdr:colOff>
      <xdr:row>9</xdr:row>
      <xdr:rowOff>19051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Ano 1">
              <a:extLst>
                <a:ext uri="{FF2B5EF4-FFF2-40B4-BE49-F238E27FC236}">
                  <a16:creationId xmlns:a16="http://schemas.microsoft.com/office/drawing/2014/main" id="{78CBE913-D3F9-3893-21AC-BC404BFBB3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2541" y="1"/>
              <a:ext cx="2557895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466724</xdr:colOff>
      <xdr:row>15</xdr:row>
      <xdr:rowOff>180975</xdr:rowOff>
    </xdr:from>
    <xdr:ext cx="10296525" cy="2724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absolute">
    <xdr:from>
      <xdr:col>6</xdr:col>
      <xdr:colOff>95249</xdr:colOff>
      <xdr:row>0</xdr:row>
      <xdr:rowOff>171451</xdr:rowOff>
    </xdr:from>
    <xdr:to>
      <xdr:col>9</xdr:col>
      <xdr:colOff>523874</xdr:colOff>
      <xdr:row>6</xdr:row>
      <xdr:rowOff>76201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Ano">
              <a:extLst>
                <a:ext uri="{FF2B5EF4-FFF2-40B4-BE49-F238E27FC236}">
                  <a16:creationId xmlns:a16="http://schemas.microsoft.com/office/drawing/2014/main" id="{07A62736-D412-7F8A-7239-B6F8D09103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8849" y="171451"/>
              <a:ext cx="2257425" cy="104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19</xdr:row>
      <xdr:rowOff>180975</xdr:rowOff>
    </xdr:from>
    <xdr:ext cx="10791824" cy="3724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absolute">
    <xdr:from>
      <xdr:col>5</xdr:col>
      <xdr:colOff>581025</xdr:colOff>
      <xdr:row>0</xdr:row>
      <xdr:rowOff>123825</xdr:rowOff>
    </xdr:from>
    <xdr:to>
      <xdr:col>8</xdr:col>
      <xdr:colOff>581025</xdr:colOff>
      <xdr:row>18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Ano 2">
              <a:extLst>
                <a:ext uri="{FF2B5EF4-FFF2-40B4-BE49-F238E27FC236}">
                  <a16:creationId xmlns:a16="http://schemas.microsoft.com/office/drawing/2014/main" id="{94636E7E-9F20-327F-41EE-F7AE476DC4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5025" y="1238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936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936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936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936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497CC6A0-8FA8-4031-B3A3-56032D48FCBA}" sourceName="Ano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4514E562-79BF-478A-AF8E-CD2F4833DD30}" sourceName="Ano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56454F53-EAB9-4ED8-9191-650EE7942D3D}" sourceName="Ano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3A9FBD57-85A5-449D-B405-2EF2473970DE}" cache="SegmentaçãodeDados_Ano1" caption="Ano" startItem="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F97C5EC8-D260-41C4-8C23-5AC115440A8D}" cache="SegmentaçãodeDados_Ano" caption="Ano" startItem="6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2" xr10:uid="{6546E577-17F2-4E82-BFF1-3A35A135003C}" cache="SegmentaçãodeDados_Ano2" caption="Ano" startItem="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F222D4-DF76-4A7E-A48B-1383E459687B}" name="Tabela2" displayName="Tabela2" ref="A1:E15" totalsRowShown="0" headerRowDxfId="2">
  <autoFilter ref="A1:E15" xr:uid="{EFF222D4-DF76-4A7E-A48B-1383E459687B}">
    <filterColumn colId="0">
      <filters>
        <filter val="2011"/>
        <filter val="2012"/>
        <filter val="2013"/>
        <filter val="2014"/>
        <filter val="2015"/>
        <filter val="2016"/>
        <filter val="2017"/>
        <filter val="2018"/>
        <filter val="2019"/>
      </filters>
    </filterColumn>
  </autoFilter>
  <tableColumns count="5">
    <tableColumn id="1" xr3:uid="{09EFC518-37C7-4D21-BE61-288B4F797FAD}" name="Ano"/>
    <tableColumn id="2" xr3:uid="{EFAA79D4-6305-4F29-9BB1-C000E714F9B8}" name="Itaú Unibanco" dataDxfId="3"/>
    <tableColumn id="3" xr3:uid="{6501EC11-7C87-4769-8596-37B845280F78}" name="Bradesco"/>
    <tableColumn id="4" xr3:uid="{BB0BA814-B07E-4AC9-A531-CC09302BAFBE}" name="Banco do Brasil"/>
    <tableColumn id="5" xr3:uid="{850DA3D7-978C-4372-BE1A-A53B8EE9BBE3}" name="Santander B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148CD-1317-43CE-AFFD-793D21CAD168}" name="Tabela1" displayName="Tabela1" ref="A1:E15" totalsRowShown="0" headerRowDxfId="4">
  <autoFilter ref="A1:E15" xr:uid="{177148CD-1317-43CE-AFFD-793D21CAD168}">
    <filterColumn colId="0">
      <filters>
        <filter val="2011"/>
        <filter val="2012"/>
        <filter val="2013"/>
        <filter val="2014"/>
        <filter val="2015"/>
        <filter val="2016"/>
        <filter val="2017"/>
        <filter val="2018"/>
        <filter val="2019"/>
      </filters>
    </filterColumn>
  </autoFilter>
  <tableColumns count="5">
    <tableColumn id="1" xr3:uid="{D2C1F63D-42BE-4E90-8D04-ED554A7F4610}" name="Ano"/>
    <tableColumn id="2" xr3:uid="{65BA0C10-E7C9-4AEC-8DD1-4F117AF235A5}" name="Itaú Unibanco" dataDxfId="5"/>
    <tableColumn id="3" xr3:uid="{EF79B7CC-9E3D-45F7-8E01-F43BEDC7F6E2}" name="Bradesco"/>
    <tableColumn id="4" xr3:uid="{30DC51A0-2461-4AFB-9277-B8A9761CC790}" name="Banco do Brasil"/>
    <tableColumn id="5" xr3:uid="{96FC91B8-9348-4340-9D2F-A97D34CE6EF7}" name="Santander B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816E3D-C97F-4F2D-BAE7-967264F200B9}" name="Tabela3" displayName="Tabela3" ref="A1:E15" totalsRowShown="0" headerRowDxfId="0">
  <autoFilter ref="A1:E15" xr:uid="{CC816E3D-C97F-4F2D-BAE7-967264F200B9}">
    <filterColumn colId="0">
      <filters>
        <filter val="2011"/>
        <filter val="2012"/>
        <filter val="2013"/>
        <filter val="2014"/>
        <filter val="2015"/>
        <filter val="2016"/>
        <filter val="2017"/>
        <filter val="2018"/>
        <filter val="2019"/>
      </filters>
    </filterColumn>
  </autoFilter>
  <tableColumns count="5">
    <tableColumn id="1" xr3:uid="{7F8788EF-5405-4BA8-9819-0800F6B8BEEE}" name="Ano"/>
    <tableColumn id="2" xr3:uid="{5B13E195-59F3-457E-B7C4-4BC9E97395DA}" name="Itaú Unibanco" dataDxfId="1"/>
    <tableColumn id="3" xr3:uid="{7761FA9F-4738-4CB2-8248-EC284E0855C1}" name="Bradesco"/>
    <tableColumn id="4" xr3:uid="{449E46EF-C288-4D6E-B315-6C77F16732BB}" name="Banco do Brasil"/>
    <tableColumn id="5" xr3:uid="{25C52017-5D09-44DD-95E9-E9A202DE27E6}" name="Santander B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workbookViewId="0">
      <selection activeCell="E8" sqref="E8"/>
    </sheetView>
  </sheetViews>
  <sheetFormatPr defaultRowHeight="15" x14ac:dyDescent="0.25"/>
  <cols>
    <col min="1" max="2" width="14" customWidth="1"/>
    <col min="3" max="3" width="17" customWidth="1"/>
    <col min="4" max="4" width="18" customWidth="1"/>
    <col min="5" max="5" width="14.85546875" bestFit="1" customWidth="1"/>
    <col min="6" max="10" width="14" customWidth="1"/>
    <col min="11" max="11" width="16" customWidth="1"/>
  </cols>
  <sheetData>
    <row r="1" spans="1:11" ht="17.25" x14ac:dyDescent="0.3">
      <c r="A1" s="1" t="s">
        <v>0</v>
      </c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5">
      <c r="A4" t="s">
        <v>12</v>
      </c>
      <c r="B4">
        <v>2011</v>
      </c>
      <c r="C4" s="3">
        <v>14610000000</v>
      </c>
      <c r="D4" s="3">
        <v>73941000000</v>
      </c>
      <c r="E4" s="3">
        <v>66265000000</v>
      </c>
      <c r="F4" s="4">
        <v>0.22047838225307481</v>
      </c>
      <c r="G4">
        <v>1.12259291010983</v>
      </c>
      <c r="H4" s="4">
        <v>0.11620880728285619</v>
      </c>
      <c r="I4" s="4">
        <v>-0.1887881993081959</v>
      </c>
      <c r="J4" s="4">
        <v>-0.2261786699209799</v>
      </c>
      <c r="K4" s="4">
        <v>0.44665705217405471</v>
      </c>
    </row>
    <row r="5" spans="1:11" x14ac:dyDescent="0.25">
      <c r="A5" t="s">
        <v>12</v>
      </c>
      <c r="B5">
        <v>2012</v>
      </c>
      <c r="C5" s="3">
        <v>13191000000</v>
      </c>
      <c r="D5" s="3">
        <v>75902000000</v>
      </c>
      <c r="E5" s="3">
        <v>73941000000</v>
      </c>
      <c r="F5" s="4">
        <v>0.17839899379234789</v>
      </c>
      <c r="G5">
        <v>1.12259291010983</v>
      </c>
      <c r="H5" s="4">
        <v>8.4931862582478201E-2</v>
      </c>
      <c r="I5" s="4">
        <v>2.846536741753147E-2</v>
      </c>
      <c r="J5" s="4">
        <v>2.1542975451558019E-2</v>
      </c>
      <c r="K5" s="4">
        <v>0.15685601834078991</v>
      </c>
    </row>
    <row r="6" spans="1:11" x14ac:dyDescent="0.25">
      <c r="A6" t="s">
        <v>12</v>
      </c>
      <c r="B6">
        <v>2013</v>
      </c>
      <c r="C6" s="3">
        <v>16522000000</v>
      </c>
      <c r="D6" s="3">
        <v>83223000000</v>
      </c>
      <c r="E6" s="3">
        <v>75902000000</v>
      </c>
      <c r="F6" s="4">
        <v>0.21767542357250139</v>
      </c>
      <c r="G6">
        <v>1.12259291010983</v>
      </c>
      <c r="H6" s="4">
        <v>8.2218999346558519E-2</v>
      </c>
      <c r="I6" s="4">
        <v>-0.1765467625899281</v>
      </c>
      <c r="J6" s="4">
        <v>-0.20826961038250941</v>
      </c>
      <c r="K6" s="4">
        <v>0.42594503395501082</v>
      </c>
    </row>
    <row r="7" spans="1:11" x14ac:dyDescent="0.25">
      <c r="A7" t="s">
        <v>12</v>
      </c>
      <c r="B7">
        <v>2014</v>
      </c>
      <c r="C7" s="3">
        <v>21861000000</v>
      </c>
      <c r="D7" s="3">
        <v>99260000000</v>
      </c>
      <c r="E7" s="3">
        <v>83223000000</v>
      </c>
      <c r="F7" s="4">
        <v>0.26267978803936409</v>
      </c>
      <c r="G7">
        <v>1.12259291010983</v>
      </c>
      <c r="H7" s="4">
        <v>0.1090435395213603</v>
      </c>
      <c r="I7" s="4">
        <v>-6.6347509981923292E-3</v>
      </c>
      <c r="J7" s="4">
        <v>-2.0816089269514611E-2</v>
      </c>
      <c r="K7" s="4">
        <v>0.28349587730887871</v>
      </c>
    </row>
    <row r="8" spans="1:11" x14ac:dyDescent="0.25">
      <c r="A8" t="s">
        <v>12</v>
      </c>
      <c r="B8">
        <v>2015</v>
      </c>
      <c r="C8" s="3">
        <v>26156000000</v>
      </c>
      <c r="D8" s="3">
        <v>112252000000</v>
      </c>
      <c r="E8" s="3">
        <v>99260000000</v>
      </c>
      <c r="F8" s="4">
        <v>0.26350997380616559</v>
      </c>
      <c r="G8">
        <v>1.12259291010983</v>
      </c>
      <c r="H8" s="4">
        <v>0.13268181048577851</v>
      </c>
      <c r="I8" s="4">
        <v>-0.1064066622691293</v>
      </c>
      <c r="J8" s="4">
        <v>-0.1357172139178682</v>
      </c>
      <c r="K8" s="4">
        <v>0.39922718772403393</v>
      </c>
    </row>
    <row r="9" spans="1:11" x14ac:dyDescent="0.25">
      <c r="A9" t="s">
        <v>12</v>
      </c>
      <c r="B9">
        <v>2016</v>
      </c>
      <c r="C9" s="3">
        <v>23582000000</v>
      </c>
      <c r="D9" s="3">
        <v>122582000000</v>
      </c>
      <c r="E9" s="3">
        <v>112252000000</v>
      </c>
      <c r="F9" s="4">
        <v>0.21008088942735989</v>
      </c>
      <c r="G9">
        <v>1.12259291010983</v>
      </c>
      <c r="H9" s="4">
        <v>0.1401857358268517</v>
      </c>
      <c r="I9" s="4">
        <v>0.42917823497306662</v>
      </c>
      <c r="J9" s="4">
        <v>0.46460666644331361</v>
      </c>
      <c r="K9" s="4">
        <v>-0.25452577701595369</v>
      </c>
    </row>
    <row r="10" spans="1:11" x14ac:dyDescent="0.25">
      <c r="A10" t="s">
        <v>12</v>
      </c>
      <c r="B10">
        <v>2017</v>
      </c>
      <c r="C10" s="3">
        <v>24268000000</v>
      </c>
      <c r="D10" s="3">
        <v>134840000000</v>
      </c>
      <c r="E10" s="3">
        <v>122582000000</v>
      </c>
      <c r="F10" s="4">
        <v>0.1979736013444062</v>
      </c>
      <c r="G10">
        <v>1.12259291010983</v>
      </c>
      <c r="H10" s="4">
        <v>9.9393261761569818E-2</v>
      </c>
      <c r="I10" s="4">
        <v>0.28214938998808509</v>
      </c>
      <c r="J10" s="4">
        <v>0.30455399558777879</v>
      </c>
      <c r="K10" s="4">
        <v>-0.10658039424337271</v>
      </c>
    </row>
    <row r="11" spans="1:11" x14ac:dyDescent="0.25">
      <c r="A11" t="s">
        <v>12</v>
      </c>
      <c r="B11">
        <v>2018</v>
      </c>
      <c r="C11" s="3">
        <v>25639000000</v>
      </c>
      <c r="D11" s="3">
        <v>136782000000</v>
      </c>
      <c r="E11" s="3">
        <v>134840000000</v>
      </c>
      <c r="F11" s="4">
        <v>0.1901438742212993</v>
      </c>
      <c r="G11">
        <v>1.12259291010983</v>
      </c>
      <c r="H11" s="4">
        <v>6.4287605846062856E-2</v>
      </c>
      <c r="I11" s="4">
        <v>0.12833318355137299</v>
      </c>
      <c r="J11" s="4">
        <v>0.13618471730193221</v>
      </c>
      <c r="K11" s="4">
        <v>5.3959156919367118E-2</v>
      </c>
    </row>
    <row r="12" spans="1:11" x14ac:dyDescent="0.25">
      <c r="A12" t="s">
        <v>12</v>
      </c>
      <c r="B12">
        <v>2019</v>
      </c>
      <c r="C12" s="3">
        <v>27813000000</v>
      </c>
      <c r="D12" s="3">
        <v>136925000000</v>
      </c>
      <c r="E12" s="3">
        <v>136782000000</v>
      </c>
      <c r="F12" s="4">
        <v>0.20333815852963111</v>
      </c>
      <c r="G12">
        <v>1.12259291010983</v>
      </c>
      <c r="H12" s="4">
        <v>5.9598618337417968E-2</v>
      </c>
      <c r="I12" s="4">
        <v>0.27416164901331702</v>
      </c>
      <c r="J12" s="4">
        <v>0.30046555534586011</v>
      </c>
      <c r="K12" s="4">
        <v>-9.7127396816228978E-2</v>
      </c>
    </row>
    <row r="13" spans="1:11" x14ac:dyDescent="0.25">
      <c r="A13" t="s">
        <v>12</v>
      </c>
      <c r="B13">
        <v>2020</v>
      </c>
      <c r="C13" s="3">
        <v>15064000000</v>
      </c>
      <c r="D13" s="3">
        <v>142993000000</v>
      </c>
      <c r="E13" s="3">
        <v>136925000000</v>
      </c>
      <c r="F13" s="4">
        <v>0.1100164323534782</v>
      </c>
      <c r="G13">
        <v>1.12259291010983</v>
      </c>
      <c r="H13" s="4">
        <v>2.757815816306541E-2</v>
      </c>
      <c r="I13" s="4">
        <v>6.1818457827667039E-3</v>
      </c>
      <c r="J13" s="4">
        <v>3.5588095824469058E-3</v>
      </c>
      <c r="K13" s="4">
        <v>0.1064576227710313</v>
      </c>
    </row>
    <row r="14" spans="1:11" x14ac:dyDescent="0.25">
      <c r="A14" t="s">
        <v>12</v>
      </c>
      <c r="B14">
        <v>2021</v>
      </c>
      <c r="C14" s="3">
        <v>28384000000</v>
      </c>
      <c r="D14" s="3">
        <v>152864000000</v>
      </c>
      <c r="E14" s="3">
        <v>142993000000</v>
      </c>
      <c r="F14" s="4">
        <v>0.1984992272348996</v>
      </c>
      <c r="G14">
        <v>1.12259291010983</v>
      </c>
      <c r="H14" s="4">
        <v>4.4236197381473767E-2</v>
      </c>
      <c r="I14" s="4">
        <v>-0.1158589045024376</v>
      </c>
      <c r="J14" s="4">
        <v>-0.135485428936716</v>
      </c>
      <c r="K14" s="4">
        <v>0.33398465617161571</v>
      </c>
    </row>
    <row r="15" spans="1:11" x14ac:dyDescent="0.25">
      <c r="A15" t="s">
        <v>12</v>
      </c>
      <c r="B15">
        <v>2022</v>
      </c>
      <c r="C15" s="3">
        <v>30737000000</v>
      </c>
      <c r="D15" s="3">
        <v>167953000000</v>
      </c>
      <c r="E15" s="3">
        <v>152864000000</v>
      </c>
      <c r="F15" s="4">
        <v>0.20107415742097551</v>
      </c>
      <c r="G15">
        <v>1.12259291010983</v>
      </c>
      <c r="H15" s="4">
        <v>0.123909890661331</v>
      </c>
      <c r="I15" s="4">
        <v>5.8784472970112127E-2</v>
      </c>
      <c r="J15" s="4">
        <v>5.0800558493227427E-2</v>
      </c>
      <c r="K15" s="4">
        <v>0.15027359892774811</v>
      </c>
    </row>
    <row r="16" spans="1:11" x14ac:dyDescent="0.25">
      <c r="A16" t="s">
        <v>12</v>
      </c>
      <c r="B16">
        <v>2023</v>
      </c>
      <c r="C16" s="3">
        <v>33877000000</v>
      </c>
      <c r="D16" s="3">
        <v>190177000000</v>
      </c>
      <c r="E16" s="3">
        <v>167953000000</v>
      </c>
      <c r="F16" s="4">
        <v>0.201705238965663</v>
      </c>
      <c r="G16">
        <v>1.12259291010983</v>
      </c>
      <c r="H16" s="4">
        <v>0.13039434525537749</v>
      </c>
      <c r="I16" s="4">
        <v>0.26142174926675188</v>
      </c>
      <c r="J16" s="4">
        <v>0.27748478002864257</v>
      </c>
      <c r="K16" s="4">
        <v>-7.5779541062979627E-2</v>
      </c>
    </row>
    <row r="17" spans="1:11" x14ac:dyDescent="0.25">
      <c r="A17" t="s">
        <v>12</v>
      </c>
      <c r="B17">
        <v>2024</v>
      </c>
      <c r="C17" s="3">
        <v>42128000000</v>
      </c>
      <c r="D17" s="3">
        <v>211090000000</v>
      </c>
      <c r="E17" s="3">
        <v>190177000000</v>
      </c>
      <c r="F17" s="4">
        <v>0.2215199524653349</v>
      </c>
      <c r="G17">
        <v>1.12259291010983</v>
      </c>
      <c r="H17" s="4">
        <v>0.1087598317446881</v>
      </c>
      <c r="I17" s="4">
        <v>-9.3551474411629476E-2</v>
      </c>
      <c r="J17" s="4">
        <v>-0.11835340618145319</v>
      </c>
      <c r="K17" s="4">
        <v>0.33987335864678808</v>
      </c>
    </row>
    <row r="18" spans="1:11" x14ac:dyDescent="0.25">
      <c r="A18" t="s">
        <v>13</v>
      </c>
      <c r="B18">
        <v>2011</v>
      </c>
      <c r="C18" s="3">
        <v>11089442000</v>
      </c>
      <c r="D18" s="3">
        <v>59139046000</v>
      </c>
      <c r="E18" s="3">
        <v>51051234000</v>
      </c>
      <c r="F18" s="4">
        <v>0.2172218207301316</v>
      </c>
      <c r="G18">
        <v>1.2050313961917061</v>
      </c>
      <c r="H18" s="4">
        <v>0.11620880728285619</v>
      </c>
      <c r="I18" s="4">
        <v>-0.1887881993081959</v>
      </c>
      <c r="J18" s="4">
        <v>-0.25132216140385027</v>
      </c>
      <c r="K18" s="4">
        <v>0.46854398213398191</v>
      </c>
    </row>
    <row r="19" spans="1:11" x14ac:dyDescent="0.25">
      <c r="A19" t="s">
        <v>13</v>
      </c>
      <c r="B19">
        <v>2012</v>
      </c>
      <c r="C19" s="3">
        <v>11351694000</v>
      </c>
      <c r="D19" s="3">
        <v>71137709000</v>
      </c>
      <c r="E19" s="3">
        <v>59139046000</v>
      </c>
      <c r="F19" s="4">
        <v>0.19194922420628829</v>
      </c>
      <c r="G19">
        <v>1.2050313961917061</v>
      </c>
      <c r="H19" s="4">
        <v>8.4931862582478201E-2</v>
      </c>
      <c r="I19" s="4">
        <v>2.846536741753147E-2</v>
      </c>
      <c r="J19" s="4">
        <v>1.6887963075810229E-2</v>
      </c>
      <c r="K19" s="4">
        <v>0.1750612611304781</v>
      </c>
    </row>
    <row r="20" spans="1:11" x14ac:dyDescent="0.25">
      <c r="A20" t="s">
        <v>13</v>
      </c>
      <c r="B20">
        <v>2013</v>
      </c>
      <c r="C20" s="3">
        <v>12486138000</v>
      </c>
      <c r="D20" s="3">
        <v>71884306000</v>
      </c>
      <c r="E20" s="3">
        <v>71137709000</v>
      </c>
      <c r="F20" s="4">
        <v>0.17552066513696701</v>
      </c>
      <c r="G20">
        <v>1.2050313961917061</v>
      </c>
      <c r="H20" s="4">
        <v>8.2218999346558519E-2</v>
      </c>
      <c r="I20" s="4">
        <v>-0.1765467625899281</v>
      </c>
      <c r="J20" s="4">
        <v>-0.22960186804637661</v>
      </c>
      <c r="K20" s="4">
        <v>0.40512253318334351</v>
      </c>
    </row>
    <row r="21" spans="1:11" x14ac:dyDescent="0.25">
      <c r="A21" t="s">
        <v>13</v>
      </c>
      <c r="B21">
        <v>2014</v>
      </c>
      <c r="C21" s="3">
        <v>15416478000</v>
      </c>
      <c r="D21" s="3">
        <v>82167741000</v>
      </c>
      <c r="E21" s="3">
        <v>71884306000</v>
      </c>
      <c r="F21" s="4">
        <v>0.2144623612280544</v>
      </c>
      <c r="G21">
        <v>1.2050313961917061</v>
      </c>
      <c r="H21" s="4">
        <v>0.1090435395213603</v>
      </c>
      <c r="I21" s="4">
        <v>-6.6347509981923292E-3</v>
      </c>
      <c r="J21" s="4">
        <v>-3.0352432412485999E-2</v>
      </c>
      <c r="K21" s="4">
        <v>0.2448147936405404</v>
      </c>
    </row>
    <row r="22" spans="1:11" x14ac:dyDescent="0.25">
      <c r="A22" t="s">
        <v>13</v>
      </c>
      <c r="B22">
        <v>2015</v>
      </c>
      <c r="C22" s="3">
        <v>18237905000</v>
      </c>
      <c r="D22" s="3">
        <v>90789427000</v>
      </c>
      <c r="E22" s="3">
        <v>82167741000</v>
      </c>
      <c r="F22" s="4">
        <v>0.22195943052639111</v>
      </c>
      <c r="G22">
        <v>1.2050313961917061</v>
      </c>
      <c r="H22" s="4">
        <v>0.13268181048577851</v>
      </c>
      <c r="I22" s="4">
        <v>-0.1064066622691293</v>
      </c>
      <c r="J22" s="4">
        <v>-0.1554273056514108</v>
      </c>
      <c r="K22" s="4">
        <v>0.37738673617780188</v>
      </c>
    </row>
    <row r="23" spans="1:11" x14ac:dyDescent="0.25">
      <c r="A23" t="s">
        <v>13</v>
      </c>
      <c r="B23">
        <v>2016</v>
      </c>
      <c r="C23" s="3">
        <v>17992726000</v>
      </c>
      <c r="D23" s="3">
        <v>105302444000</v>
      </c>
      <c r="E23" s="3">
        <v>90789427000</v>
      </c>
      <c r="F23" s="4">
        <v>0.19818085205009611</v>
      </c>
      <c r="G23">
        <v>1.2050313961917061</v>
      </c>
      <c r="H23" s="4">
        <v>0.1401857358268517</v>
      </c>
      <c r="I23" s="4">
        <v>0.42917823497306662</v>
      </c>
      <c r="J23" s="4">
        <v>0.4884307705619455</v>
      </c>
      <c r="K23" s="4">
        <v>-0.29024991851184939</v>
      </c>
    </row>
    <row r="24" spans="1:11" x14ac:dyDescent="0.25">
      <c r="A24" t="s">
        <v>13</v>
      </c>
      <c r="B24">
        <v>2017</v>
      </c>
      <c r="C24" s="3">
        <v>17314603000</v>
      </c>
      <c r="D24" s="3">
        <v>117403831000</v>
      </c>
      <c r="E24" s="3">
        <v>105302444000</v>
      </c>
      <c r="F24" s="4">
        <v>0.1644273612490893</v>
      </c>
      <c r="G24">
        <v>1.2050313961917061</v>
      </c>
      <c r="H24" s="4">
        <v>9.9393261761569818E-2</v>
      </c>
      <c r="I24" s="4">
        <v>0.28214938998808509</v>
      </c>
      <c r="J24" s="4">
        <v>0.31962013412095802</v>
      </c>
      <c r="K24" s="4">
        <v>-0.15519277287186869</v>
      </c>
    </row>
    <row r="25" spans="1:11" x14ac:dyDescent="0.25">
      <c r="A25" t="s">
        <v>13</v>
      </c>
      <c r="B25">
        <v>2018</v>
      </c>
      <c r="C25" s="3">
        <v>16748439000</v>
      </c>
      <c r="D25" s="3">
        <v>124275455000</v>
      </c>
      <c r="E25" s="3">
        <v>117403831000</v>
      </c>
      <c r="F25" s="4">
        <v>0.14265666509638861</v>
      </c>
      <c r="G25">
        <v>1.2050313961917061</v>
      </c>
      <c r="H25" s="4">
        <v>6.4287605846062856E-2</v>
      </c>
      <c r="I25" s="4">
        <v>0.12833318355137299</v>
      </c>
      <c r="J25" s="4">
        <v>0.1414645377681972</v>
      </c>
      <c r="K25" s="4">
        <v>1.192127328191378E-3</v>
      </c>
    </row>
    <row r="26" spans="1:11" x14ac:dyDescent="0.25">
      <c r="A26" t="s">
        <v>13</v>
      </c>
      <c r="B26">
        <v>2019</v>
      </c>
      <c r="C26" s="3">
        <v>21173207000</v>
      </c>
      <c r="D26" s="3">
        <v>135099466000</v>
      </c>
      <c r="E26" s="3">
        <v>124275455000</v>
      </c>
      <c r="F26" s="4">
        <v>0.17037320040389309</v>
      </c>
      <c r="G26">
        <v>1.2050313961917061</v>
      </c>
      <c r="H26" s="4">
        <v>5.9598618337417968E-2</v>
      </c>
      <c r="I26" s="4">
        <v>0.27416164901331702</v>
      </c>
      <c r="J26" s="4">
        <v>0.31815380676392041</v>
      </c>
      <c r="K26" s="4">
        <v>-0.14778060636002729</v>
      </c>
    </row>
    <row r="27" spans="1:11" x14ac:dyDescent="0.25">
      <c r="A27" t="s">
        <v>14</v>
      </c>
      <c r="B27">
        <v>2011</v>
      </c>
      <c r="C27" s="3">
        <v>12736912000</v>
      </c>
      <c r="D27" s="3">
        <v>62549946000</v>
      </c>
      <c r="E27" s="3">
        <v>54317162000</v>
      </c>
      <c r="F27" s="4">
        <v>0.2344914853982982</v>
      </c>
      <c r="G27">
        <v>1.4524873221402059</v>
      </c>
      <c r="H27" s="4">
        <v>0.11620880728285619</v>
      </c>
      <c r="I27" s="4">
        <v>-0.1887881993081959</v>
      </c>
      <c r="J27" s="4">
        <v>-0.32679547808135972</v>
      </c>
      <c r="K27" s="4">
        <v>0.56128696347965801</v>
      </c>
    </row>
    <row r="28" spans="1:11" x14ac:dyDescent="0.25">
      <c r="A28" t="s">
        <v>14</v>
      </c>
      <c r="B28">
        <v>2012</v>
      </c>
      <c r="C28" s="3">
        <v>11438200000</v>
      </c>
      <c r="D28" s="3">
        <v>69024508000</v>
      </c>
      <c r="E28" s="3">
        <v>62549946000</v>
      </c>
      <c r="F28" s="4">
        <v>0.18286506594266291</v>
      </c>
      <c r="G28">
        <v>1.4524873221402059</v>
      </c>
      <c r="H28" s="4">
        <v>8.4931862582478201E-2</v>
      </c>
      <c r="I28" s="4">
        <v>2.846536741753147E-2</v>
      </c>
      <c r="J28" s="4">
        <v>2.9149942297018588E-3</v>
      </c>
      <c r="K28" s="4">
        <v>0.17995007171296101</v>
      </c>
    </row>
    <row r="29" spans="1:11" x14ac:dyDescent="0.25">
      <c r="A29" t="s">
        <v>14</v>
      </c>
      <c r="B29">
        <v>2013</v>
      </c>
      <c r="C29" s="3">
        <v>11288834000</v>
      </c>
      <c r="D29" s="3">
        <v>73192297000</v>
      </c>
      <c r="E29" s="3">
        <v>69024508000</v>
      </c>
      <c r="F29" s="4">
        <v>0.16354819943084559</v>
      </c>
      <c r="G29">
        <v>1.4524873221402059</v>
      </c>
      <c r="H29" s="4">
        <v>8.2218999346558519E-2</v>
      </c>
      <c r="I29" s="4">
        <v>-0.1765467625899281</v>
      </c>
      <c r="J29" s="4">
        <v>-0.29363498927013892</v>
      </c>
      <c r="K29" s="4">
        <v>0.45718318870098451</v>
      </c>
    </row>
    <row r="30" spans="1:11" x14ac:dyDescent="0.25">
      <c r="A30" t="s">
        <v>14</v>
      </c>
      <c r="B30">
        <v>2014</v>
      </c>
      <c r="C30" s="3">
        <v>13343496000</v>
      </c>
      <c r="D30" s="3">
        <v>81784724000</v>
      </c>
      <c r="E30" s="3">
        <v>73192297000</v>
      </c>
      <c r="F30" s="4">
        <v>0.18230738133549759</v>
      </c>
      <c r="G30">
        <v>1.4524873221402059</v>
      </c>
      <c r="H30" s="4">
        <v>0.1090435395213603</v>
      </c>
      <c r="I30" s="4">
        <v>-6.6347509981923292E-3</v>
      </c>
      <c r="J30" s="4">
        <v>-5.8977710905141423E-2</v>
      </c>
      <c r="K30" s="4">
        <v>0.2412850922406391</v>
      </c>
    </row>
    <row r="31" spans="1:11" x14ac:dyDescent="0.25">
      <c r="A31" t="s">
        <v>14</v>
      </c>
      <c r="B31">
        <v>2015</v>
      </c>
      <c r="C31" s="3">
        <v>15798039000</v>
      </c>
      <c r="D31" s="3">
        <v>82557251000</v>
      </c>
      <c r="E31" s="3">
        <v>81784724000</v>
      </c>
      <c r="F31" s="4">
        <v>0.19316613454610421</v>
      </c>
      <c r="G31">
        <v>1.4524873221402059</v>
      </c>
      <c r="H31" s="4">
        <v>0.13268181048577851</v>
      </c>
      <c r="I31" s="4">
        <v>-0.1064066622691293</v>
      </c>
      <c r="J31" s="4">
        <v>-0.21459116506058909</v>
      </c>
      <c r="K31" s="4">
        <v>0.40775729960669338</v>
      </c>
    </row>
    <row r="32" spans="1:11" x14ac:dyDescent="0.25">
      <c r="A32" t="s">
        <v>14</v>
      </c>
      <c r="B32">
        <v>2016</v>
      </c>
      <c r="C32" s="3">
        <v>8659577000</v>
      </c>
      <c r="D32" s="3">
        <v>86376240000</v>
      </c>
      <c r="E32" s="3">
        <v>82557251000</v>
      </c>
      <c r="F32" s="4">
        <v>0.1048917798873899</v>
      </c>
      <c r="G32">
        <v>1.4524873221402059</v>
      </c>
      <c r="H32" s="4">
        <v>0.1401857358268517</v>
      </c>
      <c r="I32" s="4">
        <v>0.42917823497306662</v>
      </c>
      <c r="J32" s="4">
        <v>0.55994367703034309</v>
      </c>
      <c r="K32" s="4">
        <v>-0.45505189714295319</v>
      </c>
    </row>
    <row r="33" spans="1:11" x14ac:dyDescent="0.25">
      <c r="A33" t="s">
        <v>14</v>
      </c>
      <c r="B33">
        <v>2017</v>
      </c>
      <c r="C33" s="3">
        <v>12275303000</v>
      </c>
      <c r="D33" s="3">
        <v>97356833000</v>
      </c>
      <c r="E33" s="3">
        <v>86376240000</v>
      </c>
      <c r="F33" s="4">
        <v>0.1421143476493073</v>
      </c>
      <c r="G33">
        <v>1.4524873221402059</v>
      </c>
      <c r="H33" s="4">
        <v>9.9393261761569818E-2</v>
      </c>
      <c r="I33" s="4">
        <v>0.28214938998808509</v>
      </c>
      <c r="J33" s="4">
        <v>0.3648442210540131</v>
      </c>
      <c r="K33" s="4">
        <v>-0.22272987340470579</v>
      </c>
    </row>
    <row r="34" spans="1:11" x14ac:dyDescent="0.25">
      <c r="A34" t="s">
        <v>14</v>
      </c>
      <c r="B34">
        <v>2018</v>
      </c>
      <c r="C34" s="3">
        <v>15086101000</v>
      </c>
      <c r="D34" s="3">
        <v>101892915000</v>
      </c>
      <c r="E34" s="3">
        <v>97356833000</v>
      </c>
      <c r="F34" s="4">
        <v>0.15495677637747321</v>
      </c>
      <c r="G34">
        <v>1.4524873221402059</v>
      </c>
      <c r="H34" s="4">
        <v>6.4287605846062856E-2</v>
      </c>
      <c r="I34" s="4">
        <v>0.12833318355137299</v>
      </c>
      <c r="J34" s="4">
        <v>0.15731299550217129</v>
      </c>
      <c r="K34" s="4">
        <v>-2.3562191246981061E-3</v>
      </c>
    </row>
    <row r="35" spans="1:11" x14ac:dyDescent="0.25">
      <c r="A35" t="s">
        <v>14</v>
      </c>
      <c r="B35">
        <v>2019</v>
      </c>
      <c r="C35" s="3">
        <v>18888318000</v>
      </c>
      <c r="D35" s="3">
        <v>107734738000</v>
      </c>
      <c r="E35" s="3">
        <v>101892915000</v>
      </c>
      <c r="F35" s="4">
        <v>0.18537420388846471</v>
      </c>
      <c r="G35">
        <v>1.4524873221402059</v>
      </c>
      <c r="H35" s="4">
        <v>5.9598618337417968E-2</v>
      </c>
      <c r="I35" s="4">
        <v>0.27416164901331702</v>
      </c>
      <c r="J35" s="4">
        <v>0.3712487001941413</v>
      </c>
      <c r="K35" s="4">
        <v>-0.1858744963056766</v>
      </c>
    </row>
    <row r="36" spans="1:11" x14ac:dyDescent="0.25">
      <c r="A36" t="s">
        <v>15</v>
      </c>
      <c r="B36">
        <v>2011</v>
      </c>
      <c r="C36" s="3">
        <v>7755853000</v>
      </c>
      <c r="D36" s="3">
        <v>78013032000</v>
      </c>
      <c r="E36" s="3">
        <v>73355318000</v>
      </c>
      <c r="F36" s="4">
        <v>0.1057299349448666</v>
      </c>
      <c r="G36">
        <v>1.0653624715743431</v>
      </c>
      <c r="H36" s="4">
        <v>0.11620880728285619</v>
      </c>
      <c r="I36" s="4">
        <v>-0.1887881993081959</v>
      </c>
      <c r="J36" s="4">
        <v>-0.20872355748176341</v>
      </c>
      <c r="K36" s="4">
        <v>0.3144534924266299</v>
      </c>
    </row>
    <row r="37" spans="1:11" x14ac:dyDescent="0.25">
      <c r="A37" t="s">
        <v>15</v>
      </c>
      <c r="B37">
        <v>2012</v>
      </c>
      <c r="C37" s="3">
        <v>5459278000</v>
      </c>
      <c r="D37" s="3">
        <v>81316851000</v>
      </c>
      <c r="E37" s="3">
        <v>78013032000</v>
      </c>
      <c r="F37" s="4">
        <v>6.9979051705104864E-2</v>
      </c>
      <c r="G37">
        <v>1.0653624715743431</v>
      </c>
      <c r="H37" s="4">
        <v>8.4931862582478201E-2</v>
      </c>
      <c r="I37" s="4">
        <v>2.846536741753147E-2</v>
      </c>
      <c r="J37" s="4">
        <v>2.4774577732409851E-2</v>
      </c>
      <c r="K37" s="4">
        <v>4.520447397269501E-2</v>
      </c>
    </row>
    <row r="38" spans="1:11" x14ac:dyDescent="0.25">
      <c r="A38" t="s">
        <v>15</v>
      </c>
      <c r="B38">
        <v>2013</v>
      </c>
      <c r="C38" s="3">
        <v>7911587000</v>
      </c>
      <c r="D38" s="3">
        <v>81366201000</v>
      </c>
      <c r="E38" s="3">
        <v>81316851000</v>
      </c>
      <c r="F38" s="4">
        <v>9.7293327308013933E-2</v>
      </c>
      <c r="G38">
        <v>1.0653624715743431</v>
      </c>
      <c r="H38" s="4">
        <v>8.2218999346558519E-2</v>
      </c>
      <c r="I38" s="4">
        <v>-0.1765467625899281</v>
      </c>
      <c r="J38" s="4">
        <v>-0.19346033234891499</v>
      </c>
      <c r="K38" s="4">
        <v>0.2907536596569289</v>
      </c>
    </row>
    <row r="39" spans="1:11" x14ac:dyDescent="0.25">
      <c r="A39" t="s">
        <v>15</v>
      </c>
      <c r="B39">
        <v>2014</v>
      </c>
      <c r="C39" s="3">
        <v>5707776000</v>
      </c>
      <c r="D39" s="3">
        <v>78303120000</v>
      </c>
      <c r="E39" s="3">
        <v>81366201000</v>
      </c>
      <c r="F39" s="4">
        <v>7.0149225720886249E-2</v>
      </c>
      <c r="G39">
        <v>1.0653624715743431</v>
      </c>
      <c r="H39" s="4">
        <v>0.1090435395213603</v>
      </c>
      <c r="I39" s="4">
        <v>-6.6347509981923292E-3</v>
      </c>
      <c r="J39" s="4">
        <v>-1.4195769974045201E-2</v>
      </c>
      <c r="K39" s="4">
        <v>8.4344995694931452E-2</v>
      </c>
    </row>
    <row r="40" spans="1:11" x14ac:dyDescent="0.25">
      <c r="A40" t="s">
        <v>15</v>
      </c>
      <c r="B40">
        <v>2015</v>
      </c>
      <c r="C40" s="3">
        <v>9833826000</v>
      </c>
      <c r="D40" s="3">
        <v>79400222000</v>
      </c>
      <c r="E40" s="3">
        <v>78303120000</v>
      </c>
      <c r="F40" s="4">
        <v>0.12558664329084199</v>
      </c>
      <c r="G40">
        <v>1.0653624715743431</v>
      </c>
      <c r="H40" s="4">
        <v>0.13268181048577851</v>
      </c>
      <c r="I40" s="4">
        <v>-0.1064066622691293</v>
      </c>
      <c r="J40" s="4">
        <v>-0.1220340757733251</v>
      </c>
      <c r="K40" s="4">
        <v>0.24762071906416719</v>
      </c>
    </row>
    <row r="41" spans="1:11" x14ac:dyDescent="0.25">
      <c r="A41" t="s">
        <v>15</v>
      </c>
      <c r="B41">
        <v>2016</v>
      </c>
      <c r="C41" s="3">
        <v>7464918000</v>
      </c>
      <c r="D41" s="3">
        <v>84087055000</v>
      </c>
      <c r="E41" s="3">
        <v>79400222000</v>
      </c>
      <c r="F41" s="4">
        <v>9.4016336629386243E-2</v>
      </c>
      <c r="G41">
        <v>1.0653624715743431</v>
      </c>
      <c r="H41" s="4">
        <v>0.1401857358268517</v>
      </c>
      <c r="I41" s="4">
        <v>0.42917823497306662</v>
      </c>
      <c r="J41" s="4">
        <v>0.44806749898370951</v>
      </c>
      <c r="K41" s="4">
        <v>-0.35405116235432332</v>
      </c>
    </row>
    <row r="42" spans="1:11" x14ac:dyDescent="0.25">
      <c r="A42" t="s">
        <v>15</v>
      </c>
      <c r="B42">
        <v>2017</v>
      </c>
      <c r="C42" s="3">
        <v>9138048000</v>
      </c>
      <c r="D42" s="3">
        <v>86650707000</v>
      </c>
      <c r="E42" s="3">
        <v>84087055000</v>
      </c>
      <c r="F42" s="4">
        <v>0.1086736596970842</v>
      </c>
      <c r="G42">
        <v>1.0653624715743431</v>
      </c>
      <c r="H42" s="4">
        <v>9.9393261761569818E-2</v>
      </c>
      <c r="I42" s="4">
        <v>0.28214938998808509</v>
      </c>
      <c r="J42" s="4">
        <v>0.29409478222432778</v>
      </c>
      <c r="K42" s="4">
        <v>-0.1854211225272436</v>
      </c>
    </row>
    <row r="43" spans="1:11" x14ac:dyDescent="0.25">
      <c r="A43" t="s">
        <v>15</v>
      </c>
      <c r="B43">
        <v>2018</v>
      </c>
      <c r="C43" s="3">
        <v>12799918000</v>
      </c>
      <c r="D43" s="3">
        <v>91002875000</v>
      </c>
      <c r="E43" s="3">
        <v>86650707000</v>
      </c>
      <c r="F43" s="4">
        <v>0.14771856391200591</v>
      </c>
      <c r="G43">
        <v>1.0653624715743431</v>
      </c>
      <c r="H43" s="4">
        <v>6.4287605846062856E-2</v>
      </c>
      <c r="I43" s="4">
        <v>0.12833318355137299</v>
      </c>
      <c r="J43" s="4">
        <v>0.13251936080359869</v>
      </c>
      <c r="K43" s="4">
        <v>1.5199203108407189E-2</v>
      </c>
    </row>
    <row r="44" spans="1:11" x14ac:dyDescent="0.25">
      <c r="A44" t="s">
        <v>15</v>
      </c>
      <c r="B44">
        <v>2019</v>
      </c>
      <c r="C44" s="3">
        <v>16631450000</v>
      </c>
      <c r="D44" s="3">
        <v>96650580000</v>
      </c>
      <c r="E44" s="3">
        <v>91002875000</v>
      </c>
      <c r="F44" s="4">
        <v>0.1827574128839336</v>
      </c>
      <c r="G44">
        <v>1.0653624715743431</v>
      </c>
      <c r="H44" s="4">
        <v>5.9598618337417968E-2</v>
      </c>
      <c r="I44" s="4">
        <v>0.27416164901331702</v>
      </c>
      <c r="J44" s="4">
        <v>0.28818601900677532</v>
      </c>
      <c r="K44" s="4">
        <v>-0.1054286061228417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opLeftCell="A10" zoomScale="110" zoomScaleNormal="110" workbookViewId="0">
      <selection activeCell="N25" sqref="N25"/>
    </sheetView>
  </sheetViews>
  <sheetFormatPr defaultRowHeight="15" x14ac:dyDescent="0.25"/>
  <cols>
    <col min="1" max="5" width="16" customWidth="1"/>
  </cols>
  <sheetData>
    <row r="1" spans="1:5" x14ac:dyDescent="0.25">
      <c r="A1" s="5" t="s">
        <v>2</v>
      </c>
      <c r="B1" s="5" t="s">
        <v>12</v>
      </c>
      <c r="C1" s="5" t="s">
        <v>13</v>
      </c>
      <c r="D1" s="5" t="s">
        <v>14</v>
      </c>
      <c r="E1" s="5" t="s">
        <v>15</v>
      </c>
    </row>
    <row r="2" spans="1:5" x14ac:dyDescent="0.25">
      <c r="A2">
        <v>2011</v>
      </c>
      <c r="B2" s="4">
        <v>0.22047838225307481</v>
      </c>
      <c r="C2" s="4">
        <v>0.2172218207301316</v>
      </c>
      <c r="D2" s="4">
        <v>0.2344914853982982</v>
      </c>
      <c r="E2" s="4">
        <v>0.1057299349448666</v>
      </c>
    </row>
    <row r="3" spans="1:5" x14ac:dyDescent="0.25">
      <c r="A3">
        <v>2012</v>
      </c>
      <c r="B3" s="4">
        <v>0.17839899379234789</v>
      </c>
      <c r="C3" s="4">
        <v>0.19194922420628829</v>
      </c>
      <c r="D3" s="4">
        <v>0.18286506594266291</v>
      </c>
      <c r="E3" s="4">
        <v>6.9979051705104864E-2</v>
      </c>
    </row>
    <row r="4" spans="1:5" x14ac:dyDescent="0.25">
      <c r="A4">
        <v>2013</v>
      </c>
      <c r="B4" s="4">
        <v>0.21767542357250139</v>
      </c>
      <c r="C4" s="4">
        <v>0.17552066513696701</v>
      </c>
      <c r="D4" s="4">
        <v>0.16354819943084559</v>
      </c>
      <c r="E4" s="4">
        <v>9.7293327308013933E-2</v>
      </c>
    </row>
    <row r="5" spans="1:5" x14ac:dyDescent="0.25">
      <c r="A5">
        <v>2014</v>
      </c>
      <c r="B5" s="4">
        <v>0.26267978803936409</v>
      </c>
      <c r="C5" s="4">
        <v>0.2144623612280544</v>
      </c>
      <c r="D5" s="4">
        <v>0.18230738133549759</v>
      </c>
      <c r="E5" s="4">
        <v>7.0149225720886249E-2</v>
      </c>
    </row>
    <row r="6" spans="1:5" x14ac:dyDescent="0.25">
      <c r="A6">
        <v>2015</v>
      </c>
      <c r="B6" s="4">
        <v>0.26350997380616559</v>
      </c>
      <c r="C6" s="4">
        <v>0.22195943052639111</v>
      </c>
      <c r="D6" s="4">
        <v>0.19316613454610421</v>
      </c>
      <c r="E6" s="4">
        <v>0.12558664329084199</v>
      </c>
    </row>
    <row r="7" spans="1:5" x14ac:dyDescent="0.25">
      <c r="A7">
        <v>2016</v>
      </c>
      <c r="B7" s="4">
        <v>0.21008088942735989</v>
      </c>
      <c r="C7" s="4">
        <v>0.19818085205009611</v>
      </c>
      <c r="D7" s="4">
        <v>0.1048917798873899</v>
      </c>
      <c r="E7" s="4">
        <v>9.4016336629386243E-2</v>
      </c>
    </row>
    <row r="8" spans="1:5" x14ac:dyDescent="0.25">
      <c r="A8">
        <v>2017</v>
      </c>
      <c r="B8" s="4">
        <v>0.1979736013444062</v>
      </c>
      <c r="C8" s="4">
        <v>0.1644273612490893</v>
      </c>
      <c r="D8" s="4">
        <v>0.1421143476493073</v>
      </c>
      <c r="E8" s="4">
        <v>0.1086736596970842</v>
      </c>
    </row>
    <row r="9" spans="1:5" x14ac:dyDescent="0.25">
      <c r="A9">
        <v>2018</v>
      </c>
      <c r="B9" s="4">
        <v>0.1901438742212993</v>
      </c>
      <c r="C9" s="4">
        <v>0.14265666509638861</v>
      </c>
      <c r="D9" s="4">
        <v>0.15495677637747321</v>
      </c>
      <c r="E9" s="4">
        <v>0.14771856391200591</v>
      </c>
    </row>
    <row r="10" spans="1:5" x14ac:dyDescent="0.25">
      <c r="A10">
        <v>2019</v>
      </c>
      <c r="B10" s="4">
        <v>0.20333815852963111</v>
      </c>
      <c r="C10" s="4">
        <v>0.17037320040389309</v>
      </c>
      <c r="D10" s="4">
        <v>0.18537420388846471</v>
      </c>
      <c r="E10" s="4">
        <v>0.1827574128839336</v>
      </c>
    </row>
    <row r="11" spans="1:5" hidden="1" x14ac:dyDescent="0.25">
      <c r="A11">
        <v>2020</v>
      </c>
      <c r="B11" s="4">
        <v>0.1100164323534782</v>
      </c>
    </row>
    <row r="12" spans="1:5" hidden="1" x14ac:dyDescent="0.25">
      <c r="A12">
        <v>2021</v>
      </c>
      <c r="B12" s="4">
        <v>0.1984992272348996</v>
      </c>
    </row>
    <row r="13" spans="1:5" hidden="1" x14ac:dyDescent="0.25">
      <c r="A13">
        <v>2022</v>
      </c>
      <c r="B13" s="4">
        <v>0.20107415742097551</v>
      </c>
    </row>
    <row r="14" spans="1:5" hidden="1" x14ac:dyDescent="0.25">
      <c r="A14">
        <v>2023</v>
      </c>
      <c r="B14" s="4">
        <v>0.201705238965663</v>
      </c>
    </row>
    <row r="15" spans="1:5" hidden="1" x14ac:dyDescent="0.25">
      <c r="A15">
        <v>2024</v>
      </c>
      <c r="B15" s="4">
        <v>0.2215199524653349</v>
      </c>
    </row>
  </sheetData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topLeftCell="A7" workbookViewId="0">
      <selection activeCell="G8" sqref="G8"/>
    </sheetView>
  </sheetViews>
  <sheetFormatPr defaultRowHeight="15" x14ac:dyDescent="0.25"/>
  <cols>
    <col min="1" max="5" width="16" customWidth="1"/>
  </cols>
  <sheetData>
    <row r="1" spans="1:5" x14ac:dyDescent="0.25">
      <c r="A1" s="5" t="s">
        <v>2</v>
      </c>
      <c r="B1" s="5" t="s">
        <v>12</v>
      </c>
      <c r="C1" s="5" t="s">
        <v>13</v>
      </c>
      <c r="D1" s="5" t="s">
        <v>14</v>
      </c>
      <c r="E1" s="5" t="s">
        <v>15</v>
      </c>
    </row>
    <row r="2" spans="1:5" x14ac:dyDescent="0.25">
      <c r="A2">
        <v>2011</v>
      </c>
      <c r="B2" s="4">
        <v>0.44665705217405471</v>
      </c>
      <c r="C2" s="4">
        <v>0.46854398213398191</v>
      </c>
      <c r="D2" s="4">
        <v>0.56128696347965801</v>
      </c>
      <c r="E2" s="4">
        <v>0.3144534924266299</v>
      </c>
    </row>
    <row r="3" spans="1:5" x14ac:dyDescent="0.25">
      <c r="A3">
        <v>2012</v>
      </c>
      <c r="B3" s="4">
        <v>0.15685601834078991</v>
      </c>
      <c r="C3" s="4">
        <v>0.1750612611304781</v>
      </c>
      <c r="D3" s="4">
        <v>0.17995007171296101</v>
      </c>
      <c r="E3" s="4">
        <v>4.520447397269501E-2</v>
      </c>
    </row>
    <row r="4" spans="1:5" x14ac:dyDescent="0.25">
      <c r="A4">
        <v>2013</v>
      </c>
      <c r="B4" s="4">
        <v>0.42594503395501082</v>
      </c>
      <c r="C4" s="4">
        <v>0.40512253318334351</v>
      </c>
      <c r="D4" s="4">
        <v>0.45718318870098451</v>
      </c>
      <c r="E4" s="4">
        <v>0.2907536596569289</v>
      </c>
    </row>
    <row r="5" spans="1:5" x14ac:dyDescent="0.25">
      <c r="A5">
        <v>2014</v>
      </c>
      <c r="B5" s="4">
        <v>0.28349587730887871</v>
      </c>
      <c r="C5" s="4">
        <v>0.2448147936405404</v>
      </c>
      <c r="D5" s="4">
        <v>0.2412850922406391</v>
      </c>
      <c r="E5" s="4">
        <v>8.4344995694931452E-2</v>
      </c>
    </row>
    <row r="6" spans="1:5" x14ac:dyDescent="0.25">
      <c r="A6">
        <v>2015</v>
      </c>
      <c r="B6" s="4">
        <v>0.39922718772403393</v>
      </c>
      <c r="C6" s="4">
        <v>0.37738673617780188</v>
      </c>
      <c r="D6" s="4">
        <v>0.40775729960669338</v>
      </c>
      <c r="E6" s="4">
        <v>0.24762071906416719</v>
      </c>
    </row>
    <row r="7" spans="1:5" x14ac:dyDescent="0.25">
      <c r="A7">
        <v>2016</v>
      </c>
      <c r="B7" s="4">
        <v>-0.25452577701595369</v>
      </c>
      <c r="C7" s="4">
        <v>-0.29024991851184939</v>
      </c>
      <c r="D7" s="4">
        <v>-0.45505189714295319</v>
      </c>
      <c r="E7" s="4">
        <v>-0.35405116235432332</v>
      </c>
    </row>
    <row r="8" spans="1:5" x14ac:dyDescent="0.25">
      <c r="A8">
        <v>2017</v>
      </c>
      <c r="B8" s="4">
        <v>-0.10658039424337271</v>
      </c>
      <c r="C8" s="4">
        <v>-0.15519277287186869</v>
      </c>
      <c r="D8" s="4">
        <v>-0.22272987340470579</v>
      </c>
      <c r="E8" s="4">
        <v>-0.1854211225272436</v>
      </c>
    </row>
    <row r="9" spans="1:5" x14ac:dyDescent="0.25">
      <c r="A9">
        <v>2018</v>
      </c>
      <c r="B9" s="4">
        <v>5.3959156919367118E-2</v>
      </c>
      <c r="C9" s="4">
        <v>1.192127328191378E-3</v>
      </c>
      <c r="D9" s="4">
        <v>-2.3562191246981061E-3</v>
      </c>
      <c r="E9" s="4">
        <v>1.5199203108407189E-2</v>
      </c>
    </row>
    <row r="10" spans="1:5" x14ac:dyDescent="0.25">
      <c r="A10">
        <v>2019</v>
      </c>
      <c r="B10" s="4">
        <v>-9.7127396816228978E-2</v>
      </c>
      <c r="C10" s="4">
        <v>-0.14778060636002729</v>
      </c>
      <c r="D10" s="4">
        <v>-0.1858744963056766</v>
      </c>
      <c r="E10" s="4">
        <v>-0.1054286061228417</v>
      </c>
    </row>
    <row r="11" spans="1:5" hidden="1" x14ac:dyDescent="0.25">
      <c r="A11">
        <v>2020</v>
      </c>
      <c r="B11" s="4">
        <v>0.1064576227710313</v>
      </c>
    </row>
    <row r="12" spans="1:5" hidden="1" x14ac:dyDescent="0.25">
      <c r="A12">
        <v>2021</v>
      </c>
      <c r="B12" s="4">
        <v>0.33398465617161571</v>
      </c>
    </row>
    <row r="13" spans="1:5" hidden="1" x14ac:dyDescent="0.25">
      <c r="A13">
        <v>2022</v>
      </c>
      <c r="B13" s="4">
        <v>0.15027359892774811</v>
      </c>
    </row>
    <row r="14" spans="1:5" hidden="1" x14ac:dyDescent="0.25">
      <c r="A14">
        <v>2023</v>
      </c>
      <c r="B14" s="4">
        <v>-7.5779541062979627E-2</v>
      </c>
    </row>
    <row r="15" spans="1:5" hidden="1" x14ac:dyDescent="0.25">
      <c r="A15">
        <v>2024</v>
      </c>
      <c r="B15" s="4">
        <v>0.33987335864678808</v>
      </c>
    </row>
  </sheetData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topLeftCell="A18" workbookViewId="0">
      <selection activeCell="K19" sqref="K19"/>
    </sheetView>
  </sheetViews>
  <sheetFormatPr defaultRowHeight="15" x14ac:dyDescent="0.25"/>
  <cols>
    <col min="1" max="5" width="16" customWidth="1"/>
  </cols>
  <sheetData>
    <row r="1" spans="1:5" x14ac:dyDescent="0.25">
      <c r="A1" s="5" t="s">
        <v>2</v>
      </c>
      <c r="B1" s="5" t="s">
        <v>12</v>
      </c>
      <c r="C1" s="5" t="s">
        <v>13</v>
      </c>
      <c r="D1" s="5" t="s">
        <v>14</v>
      </c>
      <c r="E1" s="5" t="s">
        <v>15</v>
      </c>
    </row>
    <row r="2" spans="1:5" x14ac:dyDescent="0.25">
      <c r="A2">
        <v>2011</v>
      </c>
      <c r="B2" s="4">
        <v>-0.2261786699209799</v>
      </c>
      <c r="C2" s="4">
        <v>-0.25132216140385027</v>
      </c>
      <c r="D2" s="4">
        <v>-0.32679547808135972</v>
      </c>
      <c r="E2" s="4">
        <v>-0.20872355748176341</v>
      </c>
    </row>
    <row r="3" spans="1:5" x14ac:dyDescent="0.25">
      <c r="A3">
        <v>2012</v>
      </c>
      <c r="B3" s="4">
        <v>2.1542975451558019E-2</v>
      </c>
      <c r="C3" s="4">
        <v>1.6887963075810229E-2</v>
      </c>
      <c r="D3" s="4">
        <v>2.9149942297018588E-3</v>
      </c>
      <c r="E3" s="4">
        <v>2.4774577732409851E-2</v>
      </c>
    </row>
    <row r="4" spans="1:5" x14ac:dyDescent="0.25">
      <c r="A4">
        <v>2013</v>
      </c>
      <c r="B4" s="4">
        <v>-0.20826961038250941</v>
      </c>
      <c r="C4" s="4">
        <v>-0.22960186804637661</v>
      </c>
      <c r="D4" s="4">
        <v>-0.29363498927013892</v>
      </c>
      <c r="E4" s="4">
        <v>-0.19346033234891499</v>
      </c>
    </row>
    <row r="5" spans="1:5" x14ac:dyDescent="0.25">
      <c r="A5">
        <v>2014</v>
      </c>
      <c r="B5" s="4">
        <v>-2.0816089269514611E-2</v>
      </c>
      <c r="C5" s="4">
        <v>-3.0352432412485999E-2</v>
      </c>
      <c r="D5" s="4">
        <v>-5.8977710905141423E-2</v>
      </c>
      <c r="E5" s="4">
        <v>-1.4195769974045201E-2</v>
      </c>
    </row>
    <row r="6" spans="1:5" x14ac:dyDescent="0.25">
      <c r="A6">
        <v>2015</v>
      </c>
      <c r="B6" s="4">
        <v>-0.1357172139178682</v>
      </c>
      <c r="C6" s="4">
        <v>-0.1554273056514108</v>
      </c>
      <c r="D6" s="4">
        <v>-0.21459116506058909</v>
      </c>
      <c r="E6" s="4">
        <v>-0.1220340757733251</v>
      </c>
    </row>
    <row r="7" spans="1:5" x14ac:dyDescent="0.25">
      <c r="A7">
        <v>2016</v>
      </c>
      <c r="B7" s="4">
        <v>0.46460666644331361</v>
      </c>
      <c r="C7" s="4">
        <v>0.4884307705619455</v>
      </c>
      <c r="D7" s="4">
        <v>0.55994367703034309</v>
      </c>
      <c r="E7" s="4">
        <v>0.44806749898370951</v>
      </c>
    </row>
    <row r="8" spans="1:5" x14ac:dyDescent="0.25">
      <c r="A8">
        <v>2017</v>
      </c>
      <c r="B8" s="4">
        <v>0.30455399558777879</v>
      </c>
      <c r="C8" s="4">
        <v>0.31962013412095802</v>
      </c>
      <c r="D8" s="4">
        <v>0.3648442210540131</v>
      </c>
      <c r="E8" s="4">
        <v>0.29409478222432778</v>
      </c>
    </row>
    <row r="9" spans="1:5" x14ac:dyDescent="0.25">
      <c r="A9">
        <v>2018</v>
      </c>
      <c r="B9" s="4">
        <v>0.13618471730193221</v>
      </c>
      <c r="C9" s="4">
        <v>0.1414645377681972</v>
      </c>
      <c r="D9" s="4">
        <v>0.15731299550217129</v>
      </c>
      <c r="E9" s="4">
        <v>0.13251936080359869</v>
      </c>
    </row>
    <row r="10" spans="1:5" x14ac:dyDescent="0.25">
      <c r="A10">
        <v>2019</v>
      </c>
      <c r="B10" s="4">
        <v>0.30046555534586011</v>
      </c>
      <c r="C10" s="4">
        <v>0.31815380676392041</v>
      </c>
      <c r="D10" s="4">
        <v>0.3712487001941413</v>
      </c>
      <c r="E10" s="4">
        <v>0.28818601900677532</v>
      </c>
    </row>
    <row r="11" spans="1:5" hidden="1" x14ac:dyDescent="0.25">
      <c r="A11">
        <v>2020</v>
      </c>
      <c r="B11" s="4">
        <v>3.5588095824469058E-3</v>
      </c>
    </row>
    <row r="12" spans="1:5" hidden="1" x14ac:dyDescent="0.25">
      <c r="A12">
        <v>2021</v>
      </c>
      <c r="B12" s="4">
        <v>-0.135485428936716</v>
      </c>
    </row>
    <row r="13" spans="1:5" hidden="1" x14ac:dyDescent="0.25">
      <c r="A13">
        <v>2022</v>
      </c>
      <c r="B13" s="4">
        <v>5.0800558493227427E-2</v>
      </c>
    </row>
    <row r="14" spans="1:5" hidden="1" x14ac:dyDescent="0.25">
      <c r="A14">
        <v>2023</v>
      </c>
      <c r="B14" s="4">
        <v>0.27748478002864257</v>
      </c>
    </row>
    <row r="15" spans="1:5" hidden="1" x14ac:dyDescent="0.25">
      <c r="A15">
        <v>2024</v>
      </c>
      <c r="B15" s="4">
        <v>-0.11835340618145319</v>
      </c>
    </row>
  </sheetData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topLeftCell="A21" workbookViewId="0">
      <selection activeCell="E6" sqref="E6"/>
    </sheetView>
  </sheetViews>
  <sheetFormatPr defaultRowHeight="15" x14ac:dyDescent="0.25"/>
  <cols>
    <col min="1" max="1" width="14" customWidth="1"/>
    <col min="2" max="2" width="17" customWidth="1"/>
    <col min="3" max="3" width="18" customWidth="1"/>
    <col min="4" max="9" width="14" customWidth="1"/>
    <col min="10" max="10" width="16" customWidth="1"/>
  </cols>
  <sheetData>
    <row r="1" spans="1:10" ht="17.25" x14ac:dyDescent="0.3">
      <c r="A1" s="1" t="s">
        <v>16</v>
      </c>
    </row>
    <row r="3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25">
      <c r="A4">
        <v>2011</v>
      </c>
      <c r="B4" s="3">
        <v>14610000000</v>
      </c>
      <c r="C4" s="3">
        <v>73941000000</v>
      </c>
      <c r="D4" s="3">
        <v>66265000000</v>
      </c>
      <c r="E4" s="4">
        <v>0.22047838225307481</v>
      </c>
      <c r="F4">
        <v>1.12259291010983</v>
      </c>
      <c r="G4" s="4">
        <v>0.11620880728285619</v>
      </c>
      <c r="H4" s="4">
        <v>-0.1887881993081959</v>
      </c>
      <c r="I4" s="4">
        <v>-0.2261786699209799</v>
      </c>
      <c r="J4" s="4">
        <v>0.44665705217405471</v>
      </c>
    </row>
    <row r="5" spans="1:10" x14ac:dyDescent="0.25">
      <c r="A5">
        <v>2012</v>
      </c>
      <c r="B5" s="3">
        <v>13191000000</v>
      </c>
      <c r="C5" s="3">
        <v>75902000000</v>
      </c>
      <c r="D5" s="3">
        <v>73941000000</v>
      </c>
      <c r="E5" s="4">
        <v>0.17839899379234789</v>
      </c>
      <c r="F5">
        <v>1.12259291010983</v>
      </c>
      <c r="G5" s="4">
        <v>8.4931862582478201E-2</v>
      </c>
      <c r="H5" s="4">
        <v>2.846536741753147E-2</v>
      </c>
      <c r="I5" s="4">
        <v>2.1542975451558019E-2</v>
      </c>
      <c r="J5" s="4">
        <v>0.15685601834078991</v>
      </c>
    </row>
    <row r="6" spans="1:10" x14ac:dyDescent="0.25">
      <c r="A6">
        <v>2013</v>
      </c>
      <c r="B6" s="3">
        <v>16522000000</v>
      </c>
      <c r="C6" s="3">
        <v>83223000000</v>
      </c>
      <c r="D6" s="3">
        <v>75902000000</v>
      </c>
      <c r="E6" s="4">
        <v>0.21767542357250139</v>
      </c>
      <c r="F6">
        <v>1.12259291010983</v>
      </c>
      <c r="G6" s="4">
        <v>8.2218999346558519E-2</v>
      </c>
      <c r="H6" s="4">
        <v>-0.1765467625899281</v>
      </c>
      <c r="I6" s="4">
        <v>-0.20826961038250941</v>
      </c>
      <c r="J6" s="4">
        <v>0.42594503395501082</v>
      </c>
    </row>
    <row r="7" spans="1:10" x14ac:dyDescent="0.25">
      <c r="A7">
        <v>2014</v>
      </c>
      <c r="B7" s="3">
        <v>21861000000</v>
      </c>
      <c r="C7" s="3">
        <v>99260000000</v>
      </c>
      <c r="D7" s="3">
        <v>83223000000</v>
      </c>
      <c r="E7" s="4">
        <v>0.26267978803936409</v>
      </c>
      <c r="F7">
        <v>1.12259291010983</v>
      </c>
      <c r="G7" s="4">
        <v>0.1090435395213603</v>
      </c>
      <c r="H7" s="4">
        <v>-6.6347509981923292E-3</v>
      </c>
      <c r="I7" s="4">
        <v>-2.0816089269514611E-2</v>
      </c>
      <c r="J7" s="4">
        <v>0.28349587730887871</v>
      </c>
    </row>
    <row r="8" spans="1:10" x14ac:dyDescent="0.25">
      <c r="A8">
        <v>2015</v>
      </c>
      <c r="B8" s="3">
        <v>26156000000</v>
      </c>
      <c r="C8" s="3">
        <v>112252000000</v>
      </c>
      <c r="D8" s="3">
        <v>99260000000</v>
      </c>
      <c r="E8" s="4">
        <v>0.26350997380616559</v>
      </c>
      <c r="F8">
        <v>1.12259291010983</v>
      </c>
      <c r="G8" s="4">
        <v>0.13268181048577851</v>
      </c>
      <c r="H8" s="4">
        <v>-0.1064066622691293</v>
      </c>
      <c r="I8" s="4">
        <v>-0.1357172139178682</v>
      </c>
      <c r="J8" s="4">
        <v>0.39922718772403393</v>
      </c>
    </row>
    <row r="9" spans="1:10" x14ac:dyDescent="0.25">
      <c r="A9">
        <v>2016</v>
      </c>
      <c r="B9" s="3">
        <v>23582000000</v>
      </c>
      <c r="C9" s="3">
        <v>122582000000</v>
      </c>
      <c r="D9" s="3">
        <v>112252000000</v>
      </c>
      <c r="E9" s="4">
        <v>0.21008088942735989</v>
      </c>
      <c r="F9">
        <v>1.12259291010983</v>
      </c>
      <c r="G9" s="4">
        <v>0.1401857358268517</v>
      </c>
      <c r="H9" s="4">
        <v>0.42917823497306662</v>
      </c>
      <c r="I9" s="4">
        <v>0.46460666644331361</v>
      </c>
      <c r="J9" s="4">
        <v>-0.25452577701595369</v>
      </c>
    </row>
    <row r="10" spans="1:10" x14ac:dyDescent="0.25">
      <c r="A10">
        <v>2017</v>
      </c>
      <c r="B10" s="3">
        <v>24268000000</v>
      </c>
      <c r="C10" s="3">
        <v>134840000000</v>
      </c>
      <c r="D10" s="3">
        <v>122582000000</v>
      </c>
      <c r="E10" s="4">
        <v>0.1979736013444062</v>
      </c>
      <c r="F10">
        <v>1.12259291010983</v>
      </c>
      <c r="G10" s="4">
        <v>9.9393261761569818E-2</v>
      </c>
      <c r="H10" s="4">
        <v>0.28214938998808509</v>
      </c>
      <c r="I10" s="4">
        <v>0.30455399558777879</v>
      </c>
      <c r="J10" s="4">
        <v>-0.10658039424337271</v>
      </c>
    </row>
    <row r="11" spans="1:10" x14ac:dyDescent="0.25">
      <c r="A11">
        <v>2018</v>
      </c>
      <c r="B11" s="3">
        <v>25639000000</v>
      </c>
      <c r="C11" s="3">
        <v>136782000000</v>
      </c>
      <c r="D11" s="3">
        <v>134840000000</v>
      </c>
      <c r="E11" s="4">
        <v>0.1901438742212993</v>
      </c>
      <c r="F11">
        <v>1.12259291010983</v>
      </c>
      <c r="G11" s="4">
        <v>6.4287605846062856E-2</v>
      </c>
      <c r="H11" s="4">
        <v>0.12833318355137299</v>
      </c>
      <c r="I11" s="4">
        <v>0.13618471730193221</v>
      </c>
      <c r="J11" s="4">
        <v>5.3959156919367118E-2</v>
      </c>
    </row>
    <row r="12" spans="1:10" x14ac:dyDescent="0.25">
      <c r="A12">
        <v>2019</v>
      </c>
      <c r="B12" s="3">
        <v>27813000000</v>
      </c>
      <c r="C12" s="3">
        <v>136925000000</v>
      </c>
      <c r="D12" s="3">
        <v>136782000000</v>
      </c>
      <c r="E12" s="4">
        <v>0.20333815852963111</v>
      </c>
      <c r="F12">
        <v>1.12259291010983</v>
      </c>
      <c r="G12" s="4">
        <v>5.9598618337417968E-2</v>
      </c>
      <c r="H12" s="4">
        <v>0.27416164901331702</v>
      </c>
      <c r="I12" s="4">
        <v>0.30046555534586011</v>
      </c>
      <c r="J12" s="4">
        <v>-9.7127396816228978E-2</v>
      </c>
    </row>
    <row r="13" spans="1:10" x14ac:dyDescent="0.25">
      <c r="A13">
        <v>2020</v>
      </c>
      <c r="B13" s="3">
        <v>15064000000</v>
      </c>
      <c r="C13" s="3">
        <v>142993000000</v>
      </c>
      <c r="D13" s="3">
        <v>136925000000</v>
      </c>
      <c r="E13" s="4">
        <v>0.1100164323534782</v>
      </c>
      <c r="F13">
        <v>1.12259291010983</v>
      </c>
      <c r="G13" s="4">
        <v>2.757815816306541E-2</v>
      </c>
      <c r="H13" s="4">
        <v>6.1818457827667039E-3</v>
      </c>
      <c r="I13" s="4">
        <v>3.5588095824469058E-3</v>
      </c>
      <c r="J13" s="4">
        <v>0.1064576227710313</v>
      </c>
    </row>
    <row r="14" spans="1:10" x14ac:dyDescent="0.25">
      <c r="A14">
        <v>2021</v>
      </c>
      <c r="B14" s="3">
        <v>28384000000</v>
      </c>
      <c r="C14" s="3">
        <v>152864000000</v>
      </c>
      <c r="D14" s="3">
        <v>142993000000</v>
      </c>
      <c r="E14" s="4">
        <v>0.1984992272348996</v>
      </c>
      <c r="F14">
        <v>1.12259291010983</v>
      </c>
      <c r="G14" s="4">
        <v>4.4236197381473767E-2</v>
      </c>
      <c r="H14" s="4">
        <v>-0.1158589045024376</v>
      </c>
      <c r="I14" s="4">
        <v>-0.135485428936716</v>
      </c>
      <c r="J14" s="4">
        <v>0.33398465617161571</v>
      </c>
    </row>
    <row r="15" spans="1:10" x14ac:dyDescent="0.25">
      <c r="A15">
        <v>2022</v>
      </c>
      <c r="B15" s="3">
        <v>30737000000</v>
      </c>
      <c r="C15" s="3">
        <v>167953000000</v>
      </c>
      <c r="D15" s="3">
        <v>152864000000</v>
      </c>
      <c r="E15" s="4">
        <v>0.20107415742097551</v>
      </c>
      <c r="F15">
        <v>1.12259291010983</v>
      </c>
      <c r="G15" s="4">
        <v>0.123909890661331</v>
      </c>
      <c r="H15" s="4">
        <v>5.8784472970112127E-2</v>
      </c>
      <c r="I15" s="4">
        <v>5.0800558493227427E-2</v>
      </c>
      <c r="J15" s="4">
        <v>0.15027359892774811</v>
      </c>
    </row>
    <row r="16" spans="1:10" x14ac:dyDescent="0.25">
      <c r="A16">
        <v>2023</v>
      </c>
      <c r="B16" s="3">
        <v>33877000000</v>
      </c>
      <c r="C16" s="3">
        <v>190177000000</v>
      </c>
      <c r="D16" s="3">
        <v>167953000000</v>
      </c>
      <c r="E16" s="4">
        <v>0.201705238965663</v>
      </c>
      <c r="F16">
        <v>1.12259291010983</v>
      </c>
      <c r="G16" s="4">
        <v>0.13039434525537749</v>
      </c>
      <c r="H16" s="4">
        <v>0.26142174926675188</v>
      </c>
      <c r="I16" s="4">
        <v>0.27748478002864257</v>
      </c>
      <c r="J16" s="4">
        <v>-7.5779541062979627E-2</v>
      </c>
    </row>
    <row r="17" spans="1:10" x14ac:dyDescent="0.25">
      <c r="A17">
        <v>2024</v>
      </c>
      <c r="B17" s="3">
        <v>42128000000</v>
      </c>
      <c r="C17" s="3">
        <v>211090000000</v>
      </c>
      <c r="D17" s="3">
        <v>190177000000</v>
      </c>
      <c r="E17" s="4">
        <v>0.2215199524653349</v>
      </c>
      <c r="F17">
        <v>1.12259291010983</v>
      </c>
      <c r="G17" s="4">
        <v>0.1087598317446881</v>
      </c>
      <c r="H17" s="4">
        <v>-9.3551474411629476E-2</v>
      </c>
      <c r="I17" s="4">
        <v>-0.11835340618145319</v>
      </c>
      <c r="J17" s="4">
        <v>0.33987335864678808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/>
  </sheetViews>
  <sheetFormatPr defaultRowHeight="15" x14ac:dyDescent="0.25"/>
  <cols>
    <col min="1" max="1" width="14" customWidth="1"/>
    <col min="2" max="2" width="17" customWidth="1"/>
    <col min="3" max="3" width="18" customWidth="1"/>
    <col min="4" max="9" width="14" customWidth="1"/>
    <col min="10" max="10" width="16" customWidth="1"/>
  </cols>
  <sheetData>
    <row r="1" spans="1:10" ht="17.25" x14ac:dyDescent="0.3">
      <c r="A1" s="1" t="s">
        <v>17</v>
      </c>
    </row>
    <row r="3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25">
      <c r="A4">
        <v>2011</v>
      </c>
      <c r="B4" s="3">
        <v>11089442000</v>
      </c>
      <c r="C4" s="3">
        <v>59139046000</v>
      </c>
      <c r="D4" s="3">
        <v>51051234000</v>
      </c>
      <c r="E4" s="4">
        <v>0.2172218207301316</v>
      </c>
      <c r="F4">
        <v>1.2050313961917061</v>
      </c>
      <c r="G4" s="4">
        <v>0.11620880728285619</v>
      </c>
      <c r="H4" s="4">
        <v>-0.1887881993081959</v>
      </c>
      <c r="I4" s="4">
        <v>-0.25132216140385027</v>
      </c>
      <c r="J4" s="4">
        <v>0.46854398213398191</v>
      </c>
    </row>
    <row r="5" spans="1:10" x14ac:dyDescent="0.25">
      <c r="A5">
        <v>2012</v>
      </c>
      <c r="B5" s="3">
        <v>11351694000</v>
      </c>
      <c r="C5" s="3">
        <v>71137709000</v>
      </c>
      <c r="D5" s="3">
        <v>59139046000</v>
      </c>
      <c r="E5" s="4">
        <v>0.19194922420628829</v>
      </c>
      <c r="F5">
        <v>1.2050313961917061</v>
      </c>
      <c r="G5" s="4">
        <v>8.4931862582478201E-2</v>
      </c>
      <c r="H5" s="4">
        <v>2.846536741753147E-2</v>
      </c>
      <c r="I5" s="4">
        <v>1.6887963075810229E-2</v>
      </c>
      <c r="J5" s="4">
        <v>0.1750612611304781</v>
      </c>
    </row>
    <row r="6" spans="1:10" x14ac:dyDescent="0.25">
      <c r="A6">
        <v>2013</v>
      </c>
      <c r="B6" s="3">
        <v>12486138000</v>
      </c>
      <c r="C6" s="3">
        <v>71884306000</v>
      </c>
      <c r="D6" s="3">
        <v>71137709000</v>
      </c>
      <c r="E6" s="4">
        <v>0.17552066513696701</v>
      </c>
      <c r="F6">
        <v>1.2050313961917061</v>
      </c>
      <c r="G6" s="4">
        <v>8.2218999346558519E-2</v>
      </c>
      <c r="H6" s="4">
        <v>-0.1765467625899281</v>
      </c>
      <c r="I6" s="4">
        <v>-0.22960186804637661</v>
      </c>
      <c r="J6" s="4">
        <v>0.40512253318334351</v>
      </c>
    </row>
    <row r="7" spans="1:10" x14ac:dyDescent="0.25">
      <c r="A7">
        <v>2014</v>
      </c>
      <c r="B7" s="3">
        <v>15416478000</v>
      </c>
      <c r="C7" s="3">
        <v>82167741000</v>
      </c>
      <c r="D7" s="3">
        <v>71884306000</v>
      </c>
      <c r="E7" s="4">
        <v>0.2144623612280544</v>
      </c>
      <c r="F7">
        <v>1.2050313961917061</v>
      </c>
      <c r="G7" s="4">
        <v>0.1090435395213603</v>
      </c>
      <c r="H7" s="4">
        <v>-6.6347509981923292E-3</v>
      </c>
      <c r="I7" s="4">
        <v>-3.0352432412485999E-2</v>
      </c>
      <c r="J7" s="4">
        <v>0.2448147936405404</v>
      </c>
    </row>
    <row r="8" spans="1:10" x14ac:dyDescent="0.25">
      <c r="A8">
        <v>2015</v>
      </c>
      <c r="B8" s="3">
        <v>18237905000</v>
      </c>
      <c r="C8" s="3">
        <v>90789427000</v>
      </c>
      <c r="D8" s="3">
        <v>82167741000</v>
      </c>
      <c r="E8" s="4">
        <v>0.22195943052639111</v>
      </c>
      <c r="F8">
        <v>1.2050313961917061</v>
      </c>
      <c r="G8" s="4">
        <v>0.13268181048577851</v>
      </c>
      <c r="H8" s="4">
        <v>-0.1064066622691293</v>
      </c>
      <c r="I8" s="4">
        <v>-0.1554273056514108</v>
      </c>
      <c r="J8" s="4">
        <v>0.37738673617780188</v>
      </c>
    </row>
    <row r="9" spans="1:10" x14ac:dyDescent="0.25">
      <c r="A9">
        <v>2016</v>
      </c>
      <c r="B9" s="3">
        <v>17992726000</v>
      </c>
      <c r="C9" s="3">
        <v>105302444000</v>
      </c>
      <c r="D9" s="3">
        <v>90789427000</v>
      </c>
      <c r="E9" s="4">
        <v>0.19818085205009611</v>
      </c>
      <c r="F9">
        <v>1.2050313961917061</v>
      </c>
      <c r="G9" s="4">
        <v>0.1401857358268517</v>
      </c>
      <c r="H9" s="4">
        <v>0.42917823497306662</v>
      </c>
      <c r="I9" s="4">
        <v>0.4884307705619455</v>
      </c>
      <c r="J9" s="4">
        <v>-0.29024991851184939</v>
      </c>
    </row>
    <row r="10" spans="1:10" x14ac:dyDescent="0.25">
      <c r="A10">
        <v>2017</v>
      </c>
      <c r="B10" s="3">
        <v>17314603000</v>
      </c>
      <c r="C10" s="3">
        <v>117403831000</v>
      </c>
      <c r="D10" s="3">
        <v>105302444000</v>
      </c>
      <c r="E10" s="4">
        <v>0.1644273612490893</v>
      </c>
      <c r="F10">
        <v>1.2050313961917061</v>
      </c>
      <c r="G10" s="4">
        <v>9.9393261761569818E-2</v>
      </c>
      <c r="H10" s="4">
        <v>0.28214938998808509</v>
      </c>
      <c r="I10" s="4">
        <v>0.31962013412095802</v>
      </c>
      <c r="J10" s="4">
        <v>-0.15519277287186869</v>
      </c>
    </row>
    <row r="11" spans="1:10" x14ac:dyDescent="0.25">
      <c r="A11">
        <v>2018</v>
      </c>
      <c r="B11" s="3">
        <v>16748439000</v>
      </c>
      <c r="C11" s="3">
        <v>124275455000</v>
      </c>
      <c r="D11" s="3">
        <v>117403831000</v>
      </c>
      <c r="E11" s="4">
        <v>0.14265666509638861</v>
      </c>
      <c r="F11">
        <v>1.2050313961917061</v>
      </c>
      <c r="G11" s="4">
        <v>6.4287605846062856E-2</v>
      </c>
      <c r="H11" s="4">
        <v>0.12833318355137299</v>
      </c>
      <c r="I11" s="4">
        <v>0.1414645377681972</v>
      </c>
      <c r="J11" s="4">
        <v>1.192127328191378E-3</v>
      </c>
    </row>
    <row r="12" spans="1:10" x14ac:dyDescent="0.25">
      <c r="A12">
        <v>2019</v>
      </c>
      <c r="B12" s="3">
        <v>21173207000</v>
      </c>
      <c r="C12" s="3">
        <v>135099466000</v>
      </c>
      <c r="D12" s="3">
        <v>124275455000</v>
      </c>
      <c r="E12" s="4">
        <v>0.17037320040389309</v>
      </c>
      <c r="F12">
        <v>1.2050313961917061</v>
      </c>
      <c r="G12" s="4">
        <v>5.9598618337417968E-2</v>
      </c>
      <c r="H12" s="4">
        <v>0.27416164901331702</v>
      </c>
      <c r="I12" s="4">
        <v>0.31815380676392041</v>
      </c>
      <c r="J12" s="4">
        <v>-0.14778060636002729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workbookViewId="0"/>
  </sheetViews>
  <sheetFormatPr defaultRowHeight="15" x14ac:dyDescent="0.25"/>
  <cols>
    <col min="1" max="1" width="14" customWidth="1"/>
    <col min="2" max="2" width="17" customWidth="1"/>
    <col min="3" max="3" width="18" customWidth="1"/>
    <col min="4" max="9" width="14" customWidth="1"/>
    <col min="10" max="10" width="16" customWidth="1"/>
  </cols>
  <sheetData>
    <row r="1" spans="1:10" ht="17.25" x14ac:dyDescent="0.3">
      <c r="A1" s="1" t="s">
        <v>18</v>
      </c>
    </row>
    <row r="3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25">
      <c r="A4">
        <v>2011</v>
      </c>
      <c r="B4" s="3">
        <v>12736912000</v>
      </c>
      <c r="C4" s="3">
        <v>62549946000</v>
      </c>
      <c r="D4" s="3">
        <v>54317162000</v>
      </c>
      <c r="E4" s="4">
        <v>0.2344914853982982</v>
      </c>
      <c r="F4">
        <v>1.4524873221402059</v>
      </c>
      <c r="G4" s="4">
        <v>0.11620880728285619</v>
      </c>
      <c r="H4" s="4">
        <v>-0.1887881993081959</v>
      </c>
      <c r="I4" s="4">
        <v>-0.32679547808135972</v>
      </c>
      <c r="J4" s="4">
        <v>0.56128696347965801</v>
      </c>
    </row>
    <row r="5" spans="1:10" x14ac:dyDescent="0.25">
      <c r="A5">
        <v>2012</v>
      </c>
      <c r="B5" s="3">
        <v>11438200000</v>
      </c>
      <c r="C5" s="3">
        <v>69024508000</v>
      </c>
      <c r="D5" s="3">
        <v>62549946000</v>
      </c>
      <c r="E5" s="4">
        <v>0.18286506594266291</v>
      </c>
      <c r="F5">
        <v>1.4524873221402059</v>
      </c>
      <c r="G5" s="4">
        <v>8.4931862582478201E-2</v>
      </c>
      <c r="H5" s="4">
        <v>2.846536741753147E-2</v>
      </c>
      <c r="I5" s="4">
        <v>2.9149942297018588E-3</v>
      </c>
      <c r="J5" s="4">
        <v>0.17995007171296101</v>
      </c>
    </row>
    <row r="6" spans="1:10" x14ac:dyDescent="0.25">
      <c r="A6">
        <v>2013</v>
      </c>
      <c r="B6" s="3">
        <v>11288834000</v>
      </c>
      <c r="C6" s="3">
        <v>73192297000</v>
      </c>
      <c r="D6" s="3">
        <v>69024508000</v>
      </c>
      <c r="E6" s="4">
        <v>0.16354819943084559</v>
      </c>
      <c r="F6">
        <v>1.4524873221402059</v>
      </c>
      <c r="G6" s="4">
        <v>8.2218999346558519E-2</v>
      </c>
      <c r="H6" s="4">
        <v>-0.1765467625899281</v>
      </c>
      <c r="I6" s="4">
        <v>-0.29363498927013892</v>
      </c>
      <c r="J6" s="4">
        <v>0.45718318870098451</v>
      </c>
    </row>
    <row r="7" spans="1:10" x14ac:dyDescent="0.25">
      <c r="A7">
        <v>2014</v>
      </c>
      <c r="B7" s="3">
        <v>13343496000</v>
      </c>
      <c r="C7" s="3">
        <v>81784724000</v>
      </c>
      <c r="D7" s="3">
        <v>73192297000</v>
      </c>
      <c r="E7" s="4">
        <v>0.18230738133549759</v>
      </c>
      <c r="F7">
        <v>1.4524873221402059</v>
      </c>
      <c r="G7" s="4">
        <v>0.1090435395213603</v>
      </c>
      <c r="H7" s="4">
        <v>-6.6347509981923292E-3</v>
      </c>
      <c r="I7" s="4">
        <v>-5.8977710905141423E-2</v>
      </c>
      <c r="J7" s="4">
        <v>0.2412850922406391</v>
      </c>
    </row>
    <row r="8" spans="1:10" x14ac:dyDescent="0.25">
      <c r="A8">
        <v>2015</v>
      </c>
      <c r="B8" s="3">
        <v>15798039000</v>
      </c>
      <c r="C8" s="3">
        <v>82557251000</v>
      </c>
      <c r="D8" s="3">
        <v>81784724000</v>
      </c>
      <c r="E8" s="4">
        <v>0.19316613454610421</v>
      </c>
      <c r="F8">
        <v>1.4524873221402059</v>
      </c>
      <c r="G8" s="4">
        <v>0.13268181048577851</v>
      </c>
      <c r="H8" s="4">
        <v>-0.1064066622691293</v>
      </c>
      <c r="I8" s="4">
        <v>-0.21459116506058909</v>
      </c>
      <c r="J8" s="4">
        <v>0.40775729960669338</v>
      </c>
    </row>
    <row r="9" spans="1:10" x14ac:dyDescent="0.25">
      <c r="A9">
        <v>2016</v>
      </c>
      <c r="B9" s="3">
        <v>8659577000</v>
      </c>
      <c r="C9" s="3">
        <v>86376240000</v>
      </c>
      <c r="D9" s="3">
        <v>82557251000</v>
      </c>
      <c r="E9" s="4">
        <v>0.1048917798873899</v>
      </c>
      <c r="F9">
        <v>1.4524873221402059</v>
      </c>
      <c r="G9" s="4">
        <v>0.1401857358268517</v>
      </c>
      <c r="H9" s="4">
        <v>0.42917823497306662</v>
      </c>
      <c r="I9" s="4">
        <v>0.55994367703034309</v>
      </c>
      <c r="J9" s="4">
        <v>-0.45505189714295319</v>
      </c>
    </row>
    <row r="10" spans="1:10" x14ac:dyDescent="0.25">
      <c r="A10">
        <v>2017</v>
      </c>
      <c r="B10" s="3">
        <v>12275303000</v>
      </c>
      <c r="C10" s="3">
        <v>97356833000</v>
      </c>
      <c r="D10" s="3">
        <v>86376240000</v>
      </c>
      <c r="E10" s="4">
        <v>0.1421143476493073</v>
      </c>
      <c r="F10">
        <v>1.4524873221402059</v>
      </c>
      <c r="G10" s="4">
        <v>9.9393261761569818E-2</v>
      </c>
      <c r="H10" s="4">
        <v>0.28214938998808509</v>
      </c>
      <c r="I10" s="4">
        <v>0.3648442210540131</v>
      </c>
      <c r="J10" s="4">
        <v>-0.22272987340470579</v>
      </c>
    </row>
    <row r="11" spans="1:10" x14ac:dyDescent="0.25">
      <c r="A11">
        <v>2018</v>
      </c>
      <c r="B11" s="3">
        <v>15086101000</v>
      </c>
      <c r="C11" s="3">
        <v>101892915000</v>
      </c>
      <c r="D11" s="3">
        <v>97356833000</v>
      </c>
      <c r="E11" s="4">
        <v>0.15495677637747321</v>
      </c>
      <c r="F11">
        <v>1.4524873221402059</v>
      </c>
      <c r="G11" s="4">
        <v>6.4287605846062856E-2</v>
      </c>
      <c r="H11" s="4">
        <v>0.12833318355137299</v>
      </c>
      <c r="I11" s="4">
        <v>0.15731299550217129</v>
      </c>
      <c r="J11" s="4">
        <v>-2.3562191246981061E-3</v>
      </c>
    </row>
    <row r="12" spans="1:10" x14ac:dyDescent="0.25">
      <c r="A12">
        <v>2019</v>
      </c>
      <c r="B12" s="3">
        <v>18888318000</v>
      </c>
      <c r="C12" s="3">
        <v>107734738000</v>
      </c>
      <c r="D12" s="3">
        <v>101892915000</v>
      </c>
      <c r="E12" s="4">
        <v>0.18537420388846471</v>
      </c>
      <c r="F12">
        <v>1.4524873221402059</v>
      </c>
      <c r="G12" s="4">
        <v>5.9598618337417968E-2</v>
      </c>
      <c r="H12" s="4">
        <v>0.27416164901331702</v>
      </c>
      <c r="I12" s="4">
        <v>0.3712487001941413</v>
      </c>
      <c r="J12" s="4">
        <v>-0.1858744963056766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"/>
  <sheetViews>
    <sheetView workbookViewId="0"/>
  </sheetViews>
  <sheetFormatPr defaultRowHeight="15" x14ac:dyDescent="0.25"/>
  <cols>
    <col min="1" max="1" width="14" customWidth="1"/>
    <col min="2" max="2" width="17" customWidth="1"/>
    <col min="3" max="3" width="18" customWidth="1"/>
    <col min="4" max="9" width="14" customWidth="1"/>
    <col min="10" max="10" width="16" customWidth="1"/>
  </cols>
  <sheetData>
    <row r="1" spans="1:10" ht="17.25" x14ac:dyDescent="0.3">
      <c r="A1" s="1" t="s">
        <v>19</v>
      </c>
    </row>
    <row r="3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25">
      <c r="A4">
        <v>2011</v>
      </c>
      <c r="B4" s="3">
        <v>7755853000</v>
      </c>
      <c r="C4" s="3">
        <v>78013032000</v>
      </c>
      <c r="D4" s="3">
        <v>73355318000</v>
      </c>
      <c r="E4" s="4">
        <v>0.1057299349448666</v>
      </c>
      <c r="F4">
        <v>1.0653624715743431</v>
      </c>
      <c r="G4" s="4">
        <v>0.11620880728285619</v>
      </c>
      <c r="H4" s="4">
        <v>-0.1887881993081959</v>
      </c>
      <c r="I4" s="4">
        <v>-0.20872355748176341</v>
      </c>
      <c r="J4" s="4">
        <v>0.3144534924266299</v>
      </c>
    </row>
    <row r="5" spans="1:10" x14ac:dyDescent="0.25">
      <c r="A5">
        <v>2012</v>
      </c>
      <c r="B5" s="3">
        <v>5459278000</v>
      </c>
      <c r="C5" s="3">
        <v>81316851000</v>
      </c>
      <c r="D5" s="3">
        <v>78013032000</v>
      </c>
      <c r="E5" s="4">
        <v>6.9979051705104864E-2</v>
      </c>
      <c r="F5">
        <v>1.0653624715743431</v>
      </c>
      <c r="G5" s="4">
        <v>8.4931862582478201E-2</v>
      </c>
      <c r="H5" s="4">
        <v>2.846536741753147E-2</v>
      </c>
      <c r="I5" s="4">
        <v>2.4774577732409851E-2</v>
      </c>
      <c r="J5" s="4">
        <v>4.520447397269501E-2</v>
      </c>
    </row>
    <row r="6" spans="1:10" x14ac:dyDescent="0.25">
      <c r="A6">
        <v>2013</v>
      </c>
      <c r="B6" s="3">
        <v>7911587000</v>
      </c>
      <c r="C6" s="3">
        <v>81366201000</v>
      </c>
      <c r="D6" s="3">
        <v>81316851000</v>
      </c>
      <c r="E6" s="4">
        <v>9.7293327308013933E-2</v>
      </c>
      <c r="F6">
        <v>1.0653624715743431</v>
      </c>
      <c r="G6" s="4">
        <v>8.2218999346558519E-2</v>
      </c>
      <c r="H6" s="4">
        <v>-0.1765467625899281</v>
      </c>
      <c r="I6" s="4">
        <v>-0.19346033234891499</v>
      </c>
      <c r="J6" s="4">
        <v>0.2907536596569289</v>
      </c>
    </row>
    <row r="7" spans="1:10" x14ac:dyDescent="0.25">
      <c r="A7">
        <v>2014</v>
      </c>
      <c r="B7" s="3">
        <v>5707776000</v>
      </c>
      <c r="C7" s="3">
        <v>78303120000</v>
      </c>
      <c r="D7" s="3">
        <v>81366201000</v>
      </c>
      <c r="E7" s="4">
        <v>7.0149225720886249E-2</v>
      </c>
      <c r="F7">
        <v>1.0653624715743431</v>
      </c>
      <c r="G7" s="4">
        <v>0.1090435395213603</v>
      </c>
      <c r="H7" s="4">
        <v>-6.6347509981923292E-3</v>
      </c>
      <c r="I7" s="4">
        <v>-1.4195769974045201E-2</v>
      </c>
      <c r="J7" s="4">
        <v>8.4344995694931452E-2</v>
      </c>
    </row>
    <row r="8" spans="1:10" x14ac:dyDescent="0.25">
      <c r="A8">
        <v>2015</v>
      </c>
      <c r="B8" s="3">
        <v>9833826000</v>
      </c>
      <c r="C8" s="3">
        <v>79400222000</v>
      </c>
      <c r="D8" s="3">
        <v>78303120000</v>
      </c>
      <c r="E8" s="4">
        <v>0.12558664329084199</v>
      </c>
      <c r="F8">
        <v>1.0653624715743431</v>
      </c>
      <c r="G8" s="4">
        <v>0.13268181048577851</v>
      </c>
      <c r="H8" s="4">
        <v>-0.1064066622691293</v>
      </c>
      <c r="I8" s="4">
        <v>-0.1220340757733251</v>
      </c>
      <c r="J8" s="4">
        <v>0.24762071906416719</v>
      </c>
    </row>
    <row r="9" spans="1:10" x14ac:dyDescent="0.25">
      <c r="A9">
        <v>2016</v>
      </c>
      <c r="B9" s="3">
        <v>7464918000</v>
      </c>
      <c r="C9" s="3">
        <v>84087055000</v>
      </c>
      <c r="D9" s="3">
        <v>79400222000</v>
      </c>
      <c r="E9" s="4">
        <v>9.4016336629386243E-2</v>
      </c>
      <c r="F9">
        <v>1.0653624715743431</v>
      </c>
      <c r="G9" s="4">
        <v>0.1401857358268517</v>
      </c>
      <c r="H9" s="4">
        <v>0.42917823497306662</v>
      </c>
      <c r="I9" s="4">
        <v>0.44806749898370951</v>
      </c>
      <c r="J9" s="4">
        <v>-0.35405116235432332</v>
      </c>
    </row>
    <row r="10" spans="1:10" x14ac:dyDescent="0.25">
      <c r="A10">
        <v>2017</v>
      </c>
      <c r="B10" s="3">
        <v>9138048000</v>
      </c>
      <c r="C10" s="3">
        <v>86650707000</v>
      </c>
      <c r="D10" s="3">
        <v>84087055000</v>
      </c>
      <c r="E10" s="4">
        <v>0.1086736596970842</v>
      </c>
      <c r="F10">
        <v>1.0653624715743431</v>
      </c>
      <c r="G10" s="4">
        <v>9.9393261761569818E-2</v>
      </c>
      <c r="H10" s="4">
        <v>0.28214938998808509</v>
      </c>
      <c r="I10" s="4">
        <v>0.29409478222432778</v>
      </c>
      <c r="J10" s="4">
        <v>-0.1854211225272436</v>
      </c>
    </row>
    <row r="11" spans="1:10" x14ac:dyDescent="0.25">
      <c r="A11">
        <v>2018</v>
      </c>
      <c r="B11" s="3">
        <v>12799918000</v>
      </c>
      <c r="C11" s="3">
        <v>91002875000</v>
      </c>
      <c r="D11" s="3">
        <v>86650707000</v>
      </c>
      <c r="E11" s="4">
        <v>0.14771856391200591</v>
      </c>
      <c r="F11">
        <v>1.0653624715743431</v>
      </c>
      <c r="G11" s="4">
        <v>6.4287605846062856E-2</v>
      </c>
      <c r="H11" s="4">
        <v>0.12833318355137299</v>
      </c>
      <c r="I11" s="4">
        <v>0.13251936080359869</v>
      </c>
      <c r="J11" s="4">
        <v>1.5199203108407189E-2</v>
      </c>
    </row>
    <row r="12" spans="1:10" x14ac:dyDescent="0.25">
      <c r="A12">
        <v>2019</v>
      </c>
      <c r="B12" s="3">
        <v>16631450000</v>
      </c>
      <c r="C12" s="3">
        <v>96650580000</v>
      </c>
      <c r="D12" s="3">
        <v>91002875000</v>
      </c>
      <c r="E12" s="4">
        <v>0.1827574128839336</v>
      </c>
      <c r="F12">
        <v>1.0653624715743431</v>
      </c>
      <c r="G12" s="4">
        <v>5.9598618337417968E-2</v>
      </c>
      <c r="H12" s="4">
        <v>0.27416164901331702</v>
      </c>
      <c r="I12" s="4">
        <v>0.28818601900677532</v>
      </c>
      <c r="J12" s="4">
        <v>-0.1054286061228417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Setor Bancário</vt:lpstr>
      <vt:lpstr>ROE Comparativo</vt:lpstr>
      <vt:lpstr>Spread de Valor</vt:lpstr>
      <vt:lpstr>Ke Comparativo</vt:lpstr>
      <vt:lpstr>Itaú Unibanco</vt:lpstr>
      <vt:lpstr>Bradesco</vt:lpstr>
      <vt:lpstr>Banco do Brasil</vt:lpstr>
      <vt:lpstr>Santander 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Evangelista</cp:lastModifiedBy>
  <dcterms:created xsi:type="dcterms:W3CDTF">2026-02-22T20:34:58Z</dcterms:created>
  <dcterms:modified xsi:type="dcterms:W3CDTF">2026-02-22T21:38:24Z</dcterms:modified>
</cp:coreProperties>
</file>